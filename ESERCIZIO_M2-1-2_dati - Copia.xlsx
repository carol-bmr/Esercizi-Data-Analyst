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965ca6def52ccf6/Desktop/Epicode/Esercizi/1° Settimana_M1/"/>
    </mc:Choice>
  </mc:AlternateContent>
  <xr:revisionPtr revIDLastSave="430" documentId="11_A648DFB62242ABE119C67E8732116A95CDEE1866" xr6:coauthVersionLast="47" xr6:coauthVersionMax="47" xr10:uidLastSave="{918A78A7-72F0-4F6D-B5DA-11A23DD1B5A6}"/>
  <bookViews>
    <workbookView xWindow="-108" yWindow="-108" windowWidth="23256" windowHeight="12456" activeTab="1" xr2:uid="{00000000-000D-0000-FFFF-FFFF00000000}"/>
  </bookViews>
  <sheets>
    <sheet name="Parcheggio" sheetId="1" r:id="rId1"/>
    <sheet name="Frut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8" i="1" l="1" a="1"/>
  <c r="F108" i="1" s="1"/>
  <c r="F109" i="1" a="1"/>
  <c r="F109" i="1" s="1"/>
  <c r="F105" i="1" a="1"/>
  <c r="F105" i="1" s="1"/>
  <c r="F106" i="1" a="1"/>
  <c r="F106" i="1" s="1"/>
  <c r="F107" i="1" a="1"/>
  <c r="F107" i="1" s="1"/>
  <c r="F11" i="1" a="1"/>
  <c r="F11" i="1" s="1"/>
  <c r="F12" i="1" a="1"/>
  <c r="F12" i="1" s="1"/>
  <c r="F13" i="1" a="1"/>
  <c r="F13" i="1" s="1"/>
  <c r="F14" i="1" a="1"/>
  <c r="F14" i="1" s="1"/>
  <c r="F15" i="1" a="1"/>
  <c r="F15" i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 s="1"/>
  <c r="F67" i="1" a="1"/>
  <c r="F67" i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/>
  <c r="F76" i="1" a="1"/>
  <c r="F76" i="1" s="1"/>
  <c r="F77" i="1" a="1"/>
  <c r="F77" i="1" s="1"/>
  <c r="F78" i="1" a="1"/>
  <c r="F78" i="1" s="1"/>
  <c r="F79" i="1" a="1"/>
  <c r="F79" i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/>
  <c r="F95" i="1" a="1"/>
  <c r="F95" i="1" s="1"/>
  <c r="F96" i="1" a="1"/>
  <c r="F96" i="1" s="1"/>
  <c r="F97" i="1" a="1"/>
  <c r="F97" i="1" s="1"/>
  <c r="F98" i="1" a="1"/>
  <c r="F98" i="1" s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" i="1" a="1"/>
  <c r="F10" i="1" s="1"/>
  <c r="C2" i="1"/>
  <c r="D2" i="1" s="1"/>
  <c r="C3" i="1"/>
  <c r="D3" i="1" s="1"/>
  <c r="C4" i="1"/>
  <c r="D4" i="1" s="1"/>
  <c r="C5" i="1"/>
  <c r="D5" i="1" s="1"/>
  <c r="C6" i="1"/>
  <c r="D6" i="1"/>
  <c r="C7" i="1"/>
  <c r="D7" i="1" s="1"/>
  <c r="C8" i="1"/>
  <c r="D8" i="1" s="1"/>
  <c r="C9" i="1"/>
  <c r="D9" i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/>
  <c r="C19" i="1"/>
  <c r="D19" i="1" s="1"/>
  <c r="C20" i="1"/>
  <c r="D20" i="1" s="1"/>
  <c r="C21" i="1"/>
  <c r="D21" i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/>
  <c r="C41" i="1"/>
  <c r="D41" i="1" s="1"/>
  <c r="C42" i="1"/>
  <c r="D42" i="1" s="1"/>
  <c r="C43" i="1"/>
  <c r="D43" i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/>
  <c r="C53" i="1"/>
  <c r="D53" i="1" s="1"/>
  <c r="C54" i="1"/>
  <c r="D54" i="1" s="1"/>
  <c r="C55" i="1"/>
  <c r="D55" i="1" s="1"/>
  <c r="C56" i="1"/>
  <c r="D56" i="1" s="1"/>
  <c r="C57" i="1"/>
  <c r="D57" i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/>
  <c r="C86" i="1"/>
  <c r="D86" i="1" s="1"/>
  <c r="C87" i="1"/>
  <c r="D87" i="1" s="1"/>
  <c r="C88" i="1"/>
  <c r="D88" i="1" s="1"/>
  <c r="C89" i="1"/>
  <c r="D89" i="1" s="1"/>
  <c r="C90" i="1"/>
  <c r="D90" i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G6" i="2"/>
  <c r="G3" i="2"/>
  <c r="G4" i="2"/>
  <c r="G5" i="2"/>
  <c r="G2" i="2"/>
  <c r="F3" i="2"/>
  <c r="F4" i="2"/>
  <c r="F5" i="2"/>
  <c r="F6" i="2"/>
  <c r="F2" i="2"/>
  <c r="E3" i="2"/>
  <c r="E4" i="2"/>
  <c r="E5" i="2"/>
  <c r="E6" i="2"/>
  <c r="E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<sst xmlns="http://schemas.openxmlformats.org/spreadsheetml/2006/main" count="186" uniqueCount="138">
  <si>
    <t>TARGA</t>
  </si>
  <si>
    <t>ORE PARCHEGGIATE</t>
  </si>
  <si>
    <t>TIPOLOGIA VEICOLO</t>
  </si>
  <si>
    <t>COSTO</t>
  </si>
  <si>
    <t>AC234DF</t>
  </si>
  <si>
    <t>LM789GH</t>
  </si>
  <si>
    <t>PQ456IJ</t>
  </si>
  <si>
    <t>UV123KL</t>
  </si>
  <si>
    <t>WX789MN</t>
  </si>
  <si>
    <t>YZ012OP</t>
  </si>
  <si>
    <t>AB345QR</t>
  </si>
  <si>
    <t>CD678ST</t>
  </si>
  <si>
    <t>EF901UV</t>
  </si>
  <si>
    <t>GH234WX</t>
  </si>
  <si>
    <t>IJ567YZ</t>
  </si>
  <si>
    <t>KL890AB</t>
  </si>
  <si>
    <t>MN123CD</t>
  </si>
  <si>
    <t>OP456EF</t>
  </si>
  <si>
    <t>QR789GH</t>
  </si>
  <si>
    <t>ST012IJ</t>
  </si>
  <si>
    <t>UV345KL</t>
  </si>
  <si>
    <t>WX678MN</t>
  </si>
  <si>
    <t>YZ901OP</t>
  </si>
  <si>
    <t>AB234QR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</si>
  <si>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</si>
  <si>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</si>
  <si>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</si>
  <si>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</si>
  <si>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</si>
  <si>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</si>
  <si>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</si>
  <si>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</si>
  <si>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</si>
  <si>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</si>
  <si>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</si>
  <si>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</si>
  <si>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</si>
  <si>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</si>
  <si>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</si>
  <si>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</si>
  <si>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</si>
  <si>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</si>
  <si>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</si>
  <si>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</si>
  <si>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</si>
  <si>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</si>
  <si>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</si>
  <si>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</si>
  <si>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</si>
  <si>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</si>
  <si>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</si>
  <si>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</si>
  <si>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</si>
  <si>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</si>
  <si>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</si>
  <si>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</si>
  <si>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</si>
  <si>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</si>
  <si>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</si>
  <si>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</si>
  <si>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</si>
  <si>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</si>
  <si>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</si>
  <si>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</si>
  <si>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</si>
  <si>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</si>
  <si>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</si>
  <si>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</si>
  <si>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</si>
  <si>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</si>
  <si>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</si>
  <si>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</si>
  <si>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</si>
  <si>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</si>
  <si>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</si>
  <si>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</si>
  <si>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</si>
  <si>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</si>
  <si>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</si>
  <si>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</si>
  <si>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</si>
  <si>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</si>
  <si>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</si>
  <si>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</si>
  <si>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</si>
  <si>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</si>
  <si>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</si>
  <si>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</si>
  <si>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</si>
  <si>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</si>
  <si>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</si>
  <si>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</si>
  <si>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</si>
  <si>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</si>
  <si>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</si>
  <si>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</si>
  <si>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</si>
  <si>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</si>
  <si>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</si>
  <si>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</si>
  <si>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</si>
  <si>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</si>
  <si>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</si>
  <si>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</si>
  <si>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</si>
  <si>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</si>
  <si>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</si>
  <si>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</si>
  <si>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</si>
  <si>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</si>
  <si>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>A:F</t>
  </si>
  <si>
    <t>G:M</t>
  </si>
  <si>
    <t>N:Z</t>
  </si>
  <si>
    <t>Categoria</t>
  </si>
  <si>
    <t>€ / h</t>
  </si>
  <si>
    <t>2€ ogni 30 minuti per i veicoli di categoria 0, quindi €4 ogni ora</t>
  </si>
  <si>
    <t>1,5€ ogni 30 minuti per i veicoli di cateogoria 1, quindi €3 ogni ora</t>
  </si>
  <si>
    <t>2€ ogni ora per i veicoli di cateogira 2</t>
  </si>
  <si>
    <t>Se la targa presente in colonna A inizia con una lettera compresa tra la A e la F (incluse), inserite uno zero "0",</t>
  </si>
  <si>
    <t>Se la targa presente in colonna A inizia con una lettera compresa tra la G e la M (incluse), inserite un uno "1",</t>
  </si>
  <si>
    <t>Se la targa presente in colonna A inizia con una lettera compresa tra la N e la Z (incluse), inserite un due "2",</t>
  </si>
  <si>
    <t>Esercizio 1:</t>
  </si>
  <si>
    <t>1° Lettera</t>
  </si>
  <si>
    <t>Utilizzando una o più colonne libere (ad esempio la D per indicare il soggetto e la E per il conteggio) contate quante volte ogni frutto compare nella colonna A.</t>
  </si>
  <si>
    <t>Utilizzando una o più colonne libere, calcolate il totale di ogni frutto (ad esempio, per le banane: sommate i valori di colonna B se, nella stessa riga, in colonna A, compare “Bananaˮ).</t>
  </si>
  <si>
    <t>Esercizio 2</t>
  </si>
  <si>
    <t>Esercizio 3</t>
  </si>
  <si>
    <t>Esercizio 4</t>
  </si>
  <si>
    <t>Soggetto</t>
  </si>
  <si>
    <t>Conteggio</t>
  </si>
  <si>
    <t>Tot. Frutti</t>
  </si>
  <si>
    <t>Tot. Costo</t>
  </si>
  <si>
    <t>CONTA.SE</t>
  </si>
  <si>
    <t>SOMMA.SE</t>
  </si>
  <si>
    <t>SOMMA.Più.SE</t>
  </si>
  <si>
    <t>Utilizzando una o più colonne libere, calcolate il costo totale di mele vendute solo nel caso in cui il peso sia superiore a 80 (sommate i valori di colonna C se, nella stessa riga, in colonna A, compare “Melaˮ e in colonna B compare un valore maggiore di 80).</t>
  </si>
  <si>
    <r>
      <rPr>
        <b/>
        <sz val="10"/>
        <color rgb="FF000000"/>
        <rFont val="Calibri"/>
        <family val="2"/>
      </rPr>
      <t>TIPOLOGIA VEICOLO:</t>
    </r>
    <r>
      <rPr>
        <sz val="10"/>
        <color rgb="FF000000"/>
        <rFont val="Calibri"/>
        <family val="2"/>
      </rPr>
      <t xml:space="preserve">  con =Più.SE</t>
    </r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</si>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</sst>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4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2" tint="-0.1499984740745262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1"/>
      <color theme="1"/>
      <name val="Arial"/>
      <family val="2"/>
      <scheme val="minor"/>
    </font>
    <font>
      <b/>
      <sz val="11"/>
      <color theme="0" tint="-4.9989318521683403E-2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4" fontId="5" fillId="0" borderId="0" xfId="0" applyNumberFormat="1" applyFont="1" applyAlignment="1">
      <alignment horizontal="center" vertical="center"/>
    </xf>
    <xf numFmtId="44" fontId="5" fillId="0" borderId="4" xfId="0" applyNumberFormat="1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3" fillId="2" borderId="12" xfId="0" applyFont="1" applyFill="1" applyBorder="1" applyAlignment="1">
      <alignment horizontal="center" vertical="center"/>
    </xf>
    <xf numFmtId="2" fontId="3" fillId="2" borderId="13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left" vertical="center"/>
    </xf>
    <xf numFmtId="0" fontId="8" fillId="0" borderId="0" xfId="0" applyFont="1"/>
    <xf numFmtId="0" fontId="11" fillId="0" borderId="0" xfId="0" applyFont="1"/>
    <xf numFmtId="0" fontId="8" fillId="4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4" borderId="18" xfId="0" applyFont="1" applyFill="1" applyBorder="1"/>
    <xf numFmtId="0" fontId="8" fillId="6" borderId="19" xfId="0" applyFont="1" applyFill="1" applyBorder="1" applyAlignment="1">
      <alignment horizontal="center" vertical="center"/>
    </xf>
    <xf numFmtId="0" fontId="8" fillId="4" borderId="20" xfId="0" applyFont="1" applyFill="1" applyBorder="1"/>
    <xf numFmtId="0" fontId="8" fillId="4" borderId="21" xfId="0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horizontal="center" vertical="center"/>
    </xf>
    <xf numFmtId="0" fontId="6" fillId="7" borderId="15" xfId="0" applyFont="1" applyFill="1" applyBorder="1"/>
    <xf numFmtId="0" fontId="6" fillId="7" borderId="16" xfId="0" applyFont="1" applyFill="1" applyBorder="1"/>
    <xf numFmtId="0" fontId="6" fillId="7" borderId="17" xfId="0" applyFont="1" applyFill="1" applyBorder="1"/>
    <xf numFmtId="0" fontId="3" fillId="2" borderId="2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0" fillId="4" borderId="0" xfId="0" applyFont="1" applyFill="1" applyAlignment="1">
      <alignment horizontal="left" vertical="center" wrapText="1"/>
    </xf>
    <xf numFmtId="0" fontId="10" fillId="5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/>
  </cellXfs>
  <cellStyles count="1">
    <cellStyle name="Normale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A5E5D4-1229-40F8-9238-C6E50C68AAA7}" name="Tabella1" displayName="Tabella1" ref="A1:C47" totalsRowShown="0" headerRowDxfId="4" dataDxfId="3">
  <autoFilter ref="A1:C47" xr:uid="{52A5E5D4-1229-40F8-9238-C6E50C68AAA7}"/>
  <tableColumns count="3">
    <tableColumn id="1" xr3:uid="{E12B1ECB-2953-4D18-B0FB-041B8ACF2FD3}" name="FRUTTA" dataDxfId="2"/>
    <tableColumn id="2" xr3:uid="{D7495A7C-25A5-451A-B5A0-0B4DD2A3F66D}" name="PESO" dataDxfId="1"/>
    <tableColumn id="3" xr3:uid="{8E495EBA-52DF-42FE-8C13-9B27F6ABA96D}" name="COSTO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9"/>
  <sheetViews>
    <sheetView workbookViewId="0">
      <selection activeCell="H10" sqref="H10"/>
    </sheetView>
  </sheetViews>
  <sheetFormatPr defaultColWidth="12.6640625" defaultRowHeight="15.75" customHeight="1" x14ac:dyDescent="0.25"/>
  <cols>
    <col min="1" max="1" width="9.5546875" style="3" bestFit="1" customWidth="1"/>
    <col min="2" max="2" width="22.88671875" style="11" bestFit="1" customWidth="1"/>
    <col min="3" max="3" width="23.109375" style="3" bestFit="1" customWidth="1"/>
    <col min="4" max="4" width="8.33203125" style="3" bestFit="1" customWidth="1"/>
    <col min="5" max="5" width="11.44140625" style="3" bestFit="1" customWidth="1"/>
    <col min="6" max="6" width="11.109375" style="3" bestFit="1" customWidth="1"/>
    <col min="7" max="7" width="7" style="3" bestFit="1" customWidth="1"/>
    <col min="8" max="8" width="93.21875" bestFit="1" customWidth="1"/>
  </cols>
  <sheetData>
    <row r="1" spans="1:29" ht="18.600000000000001" thickBot="1" x14ac:dyDescent="0.3">
      <c r="A1" s="17" t="s">
        <v>0</v>
      </c>
      <c r="B1" s="18" t="s">
        <v>1</v>
      </c>
      <c r="C1" s="19" t="s">
        <v>2</v>
      </c>
      <c r="D1" s="34" t="s">
        <v>3</v>
      </c>
      <c r="E1" s="33" t="s">
        <v>122</v>
      </c>
      <c r="F1" s="19" t="s">
        <v>113</v>
      </c>
      <c r="G1" s="19" t="s">
        <v>114</v>
      </c>
      <c r="H1" s="20" t="s">
        <v>121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3.8" x14ac:dyDescent="0.25">
      <c r="A2" s="9" t="s">
        <v>4</v>
      </c>
      <c r="B2" s="7">
        <v>1.5</v>
      </c>
      <c r="C2" s="6">
        <f>IF(LEFT(A2,1)&lt;="F",0,IF(LEFT(A2,1)&lt;="M",1,2))</f>
        <v>0</v>
      </c>
      <c r="D2" s="4">
        <f>IF(C2=$F$2, B2*$G$2, IF(C2=$F$3, B2*$G$3, B2*$G$4))</f>
        <v>6</v>
      </c>
      <c r="E2" s="3" t="s">
        <v>110</v>
      </c>
      <c r="F2" s="3">
        <v>0</v>
      </c>
      <c r="G2" s="13">
        <v>4</v>
      </c>
      <c r="H2" s="15" t="s">
        <v>118</v>
      </c>
    </row>
    <row r="3" spans="1:29" ht="13.8" x14ac:dyDescent="0.25">
      <c r="A3" s="9" t="s">
        <v>5</v>
      </c>
      <c r="B3" s="7">
        <v>2.5</v>
      </c>
      <c r="C3" s="6">
        <f t="shared" ref="C3:C66" si="0">IF(LEFT(A3,1)&lt;="F",0,IF(LEFT(A3,1)&lt;="M",1,2))</f>
        <v>1</v>
      </c>
      <c r="D3" s="4">
        <f t="shared" ref="D3:D66" si="1">IF(C3=$F$2, B3*$G$2, IF(C3=$F$3, B3*$G$3, B3*$G$4))</f>
        <v>7.5</v>
      </c>
      <c r="E3" s="3" t="s">
        <v>111</v>
      </c>
      <c r="F3" s="3">
        <v>1</v>
      </c>
      <c r="G3" s="13">
        <v>3</v>
      </c>
      <c r="H3" s="15" t="s">
        <v>119</v>
      </c>
    </row>
    <row r="4" spans="1:29" ht="14.4" thickBot="1" x14ac:dyDescent="0.3">
      <c r="A4" s="9" t="s">
        <v>6</v>
      </c>
      <c r="B4" s="7">
        <v>3.5</v>
      </c>
      <c r="C4" s="6">
        <f t="shared" si="0"/>
        <v>2</v>
      </c>
      <c r="D4" s="4">
        <f t="shared" si="1"/>
        <v>7</v>
      </c>
      <c r="E4" s="5" t="s">
        <v>112</v>
      </c>
      <c r="F4" s="5">
        <v>2</v>
      </c>
      <c r="G4" s="14">
        <v>2</v>
      </c>
      <c r="H4" s="15" t="s">
        <v>120</v>
      </c>
    </row>
    <row r="5" spans="1:29" ht="13.8" customHeight="1" thickBot="1" x14ac:dyDescent="0.3">
      <c r="A5" s="9" t="s">
        <v>7</v>
      </c>
      <c r="B5" s="7">
        <v>4.5</v>
      </c>
      <c r="C5" s="6">
        <f t="shared" si="0"/>
        <v>2</v>
      </c>
      <c r="D5" s="36">
        <f t="shared" si="1"/>
        <v>9</v>
      </c>
      <c r="F5" s="38"/>
      <c r="G5" s="35"/>
      <c r="H5" s="15"/>
    </row>
    <row r="6" spans="1:29" ht="13.8" x14ac:dyDescent="0.25">
      <c r="A6" s="9" t="s">
        <v>8</v>
      </c>
      <c r="B6" s="7">
        <v>5.5</v>
      </c>
      <c r="C6" s="6">
        <f t="shared" si="0"/>
        <v>2</v>
      </c>
      <c r="D6" s="36">
        <f t="shared" si="1"/>
        <v>11</v>
      </c>
      <c r="E6" s="46" t="s">
        <v>137</v>
      </c>
      <c r="F6" s="40" t="s">
        <v>136</v>
      </c>
      <c r="H6" s="15" t="s">
        <v>115</v>
      </c>
    </row>
    <row r="7" spans="1:29" ht="13.8" x14ac:dyDescent="0.25">
      <c r="A7" s="9" t="s">
        <v>9</v>
      </c>
      <c r="B7" s="7">
        <v>6.5</v>
      </c>
      <c r="C7" s="6">
        <f t="shared" si="0"/>
        <v>2</v>
      </c>
      <c r="D7" s="36">
        <f t="shared" si="1"/>
        <v>13</v>
      </c>
      <c r="F7" s="41"/>
      <c r="H7" s="15" t="s">
        <v>116</v>
      </c>
    </row>
    <row r="8" spans="1:29" ht="14.4" thickBot="1" x14ac:dyDescent="0.3">
      <c r="A8" s="9" t="s">
        <v>10</v>
      </c>
      <c r="B8" s="7">
        <v>7.5</v>
      </c>
      <c r="C8" s="6">
        <f t="shared" si="0"/>
        <v>0</v>
      </c>
      <c r="D8" s="36">
        <f t="shared" si="1"/>
        <v>30</v>
      </c>
      <c r="F8" s="41"/>
      <c r="H8" s="16" t="s">
        <v>117</v>
      </c>
    </row>
    <row r="9" spans="1:29" ht="14.4" thickBot="1" x14ac:dyDescent="0.3">
      <c r="A9" s="9" t="s">
        <v>11</v>
      </c>
      <c r="B9" s="7">
        <v>8.5</v>
      </c>
      <c r="C9" s="6">
        <f t="shared" si="0"/>
        <v>0</v>
      </c>
      <c r="D9" s="36">
        <f t="shared" si="1"/>
        <v>34</v>
      </c>
      <c r="F9" s="42"/>
    </row>
    <row r="10" spans="1:29" ht="13.8" x14ac:dyDescent="0.25">
      <c r="A10" s="9" t="s">
        <v>12</v>
      </c>
      <c r="B10" s="7">
        <v>9.5</v>
      </c>
      <c r="C10" s="6">
        <f t="shared" si="0"/>
        <v>0</v>
      </c>
      <c r="D10" s="36">
        <f t="shared" si="1"/>
        <v>38</v>
      </c>
      <c r="F10" s="36" cm="1">
        <f t="array" ref="F10">_xlfn.IFS(LEFT(A2,1)&lt;="F",0,LEFT(A2,1)&lt;="M",1,LEFT(A2,1)&lt;="Z",2)</f>
        <v>0</v>
      </c>
    </row>
    <row r="11" spans="1:29" ht="13.8" x14ac:dyDescent="0.25">
      <c r="A11" s="9" t="s">
        <v>13</v>
      </c>
      <c r="B11" s="7">
        <v>10</v>
      </c>
      <c r="C11" s="6">
        <f t="shared" si="0"/>
        <v>1</v>
      </c>
      <c r="D11" s="36">
        <f t="shared" si="1"/>
        <v>30</v>
      </c>
      <c r="F11" s="36" cm="1">
        <f t="array" ref="F11">_xlfn.IFS(LEFT(A3,1)&lt;="F",0,LEFT(A3,1)&lt;="M",1,LEFT(A3,1)&lt;="Z",2)</f>
        <v>1</v>
      </c>
    </row>
    <row r="12" spans="1:29" ht="13.8" x14ac:dyDescent="0.25">
      <c r="A12" s="9" t="s">
        <v>14</v>
      </c>
      <c r="B12" s="7">
        <v>0.5</v>
      </c>
      <c r="C12" s="6">
        <f t="shared" si="0"/>
        <v>1</v>
      </c>
      <c r="D12" s="36">
        <f t="shared" si="1"/>
        <v>1.5</v>
      </c>
      <c r="F12" s="36" cm="1">
        <f t="array" ref="F12">_xlfn.IFS(LEFT(A4,1)&lt;="F",0,LEFT(A4,1)&lt;="M",1,LEFT(A4,1)&lt;="Z",2)</f>
        <v>2</v>
      </c>
    </row>
    <row r="13" spans="1:29" ht="13.8" x14ac:dyDescent="0.25">
      <c r="A13" s="9" t="s">
        <v>15</v>
      </c>
      <c r="B13" s="7">
        <v>1</v>
      </c>
      <c r="C13" s="6">
        <f t="shared" si="0"/>
        <v>1</v>
      </c>
      <c r="D13" s="36">
        <f t="shared" si="1"/>
        <v>3</v>
      </c>
      <c r="F13" s="36" cm="1">
        <f t="array" ref="F13">_xlfn.IFS(LEFT(A5,1)&lt;="F",0,LEFT(A5,1)&lt;="M",1,LEFT(A5,1)&lt;="Z",2)</f>
        <v>2</v>
      </c>
    </row>
    <row r="14" spans="1:29" ht="13.8" x14ac:dyDescent="0.25">
      <c r="A14" s="9" t="s">
        <v>16</v>
      </c>
      <c r="B14" s="7">
        <v>2</v>
      </c>
      <c r="C14" s="6">
        <f t="shared" si="0"/>
        <v>1</v>
      </c>
      <c r="D14" s="36">
        <f t="shared" si="1"/>
        <v>6</v>
      </c>
      <c r="F14" s="36" cm="1">
        <f t="array" ref="F14">_xlfn.IFS(LEFT(A6,1)&lt;="F",0,LEFT(A6,1)&lt;="M",1,LEFT(A6,1)&lt;="Z",2)</f>
        <v>2</v>
      </c>
    </row>
    <row r="15" spans="1:29" ht="13.8" x14ac:dyDescent="0.25">
      <c r="A15" s="9" t="s">
        <v>17</v>
      </c>
      <c r="B15" s="7">
        <v>3</v>
      </c>
      <c r="C15" s="6">
        <f t="shared" si="0"/>
        <v>2</v>
      </c>
      <c r="D15" s="36">
        <f t="shared" si="1"/>
        <v>6</v>
      </c>
      <c r="F15" s="36" cm="1">
        <f t="array" ref="F15">_xlfn.IFS(LEFT(A7,1)&lt;="F",0,LEFT(A7,1)&lt;="M",1,LEFT(A7,1)&lt;="Z",2)</f>
        <v>2</v>
      </c>
    </row>
    <row r="16" spans="1:29" ht="13.8" x14ac:dyDescent="0.25">
      <c r="A16" s="9" t="s">
        <v>18</v>
      </c>
      <c r="B16" s="7">
        <v>4</v>
      </c>
      <c r="C16" s="6">
        <f t="shared" si="0"/>
        <v>2</v>
      </c>
      <c r="D16" s="36">
        <f t="shared" si="1"/>
        <v>8</v>
      </c>
      <c r="F16" s="36" cm="1">
        <f t="array" ref="F16">_xlfn.IFS(LEFT(A8,1)&lt;="F",0,LEFT(A8,1)&lt;="M",1,LEFT(A8,1)&lt;="Z",2)</f>
        <v>0</v>
      </c>
    </row>
    <row r="17" spans="1:6" ht="13.8" x14ac:dyDescent="0.25">
      <c r="A17" s="9" t="s">
        <v>19</v>
      </c>
      <c r="B17" s="7">
        <v>5</v>
      </c>
      <c r="C17" s="6">
        <f t="shared" si="0"/>
        <v>2</v>
      </c>
      <c r="D17" s="36">
        <f t="shared" si="1"/>
        <v>10</v>
      </c>
      <c r="F17" s="36" cm="1">
        <f t="array" ref="F17">_xlfn.IFS(LEFT(A9,1)&lt;="F",0,LEFT(A9,1)&lt;="M",1,LEFT(A9,1)&lt;="Z",2)</f>
        <v>0</v>
      </c>
    </row>
    <row r="18" spans="1:6" ht="13.8" x14ac:dyDescent="0.25">
      <c r="A18" s="9" t="s">
        <v>20</v>
      </c>
      <c r="B18" s="7">
        <v>6</v>
      </c>
      <c r="C18" s="6">
        <f t="shared" si="0"/>
        <v>2</v>
      </c>
      <c r="D18" s="36">
        <f t="shared" si="1"/>
        <v>12</v>
      </c>
      <c r="F18" s="36" cm="1">
        <f t="array" ref="F18">_xlfn.IFS(LEFT(A10,1)&lt;="F",0,LEFT(A10,1)&lt;="M",1,LEFT(A10,1)&lt;="Z",2)</f>
        <v>0</v>
      </c>
    </row>
    <row r="19" spans="1:6" ht="13.8" x14ac:dyDescent="0.25">
      <c r="A19" s="9" t="s">
        <v>21</v>
      </c>
      <c r="B19" s="7">
        <v>7</v>
      </c>
      <c r="C19" s="6">
        <f t="shared" si="0"/>
        <v>2</v>
      </c>
      <c r="D19" s="36">
        <f t="shared" si="1"/>
        <v>14</v>
      </c>
      <c r="F19" s="36" cm="1">
        <f t="array" ref="F19">_xlfn.IFS(LEFT(A11,1)&lt;="F",0,LEFT(A11,1)&lt;="M",1,LEFT(A11,1)&lt;="Z",2)</f>
        <v>1</v>
      </c>
    </row>
    <row r="20" spans="1:6" ht="13.8" x14ac:dyDescent="0.25">
      <c r="A20" s="9" t="s">
        <v>22</v>
      </c>
      <c r="B20" s="7">
        <v>8</v>
      </c>
      <c r="C20" s="6">
        <f t="shared" si="0"/>
        <v>2</v>
      </c>
      <c r="D20" s="36">
        <f t="shared" si="1"/>
        <v>16</v>
      </c>
      <c r="F20" s="36" cm="1">
        <f t="array" ref="F20">_xlfn.IFS(LEFT(A12,1)&lt;="F",0,LEFT(A12,1)&lt;="M",1,LEFT(A12,1)&lt;="Z",2)</f>
        <v>1</v>
      </c>
    </row>
    <row r="21" spans="1:6" ht="13.8" x14ac:dyDescent="0.25">
      <c r="A21" s="9" t="s">
        <v>23</v>
      </c>
      <c r="B21" s="7">
        <v>9</v>
      </c>
      <c r="C21" s="6">
        <f t="shared" si="0"/>
        <v>0</v>
      </c>
      <c r="D21" s="36">
        <f t="shared" si="1"/>
        <v>36</v>
      </c>
      <c r="F21" s="36" cm="1">
        <f t="array" ref="F21">_xlfn.IFS(LEFT(A13,1)&lt;="F",0,LEFT(A13,1)&lt;="M",1,LEFT(A13,1)&lt;="Z",2)</f>
        <v>1</v>
      </c>
    </row>
    <row r="22" spans="1:6" ht="13.8" x14ac:dyDescent="0.25">
      <c r="A22" s="9" t="s">
        <v>24</v>
      </c>
      <c r="B22" s="7">
        <v>10</v>
      </c>
      <c r="C22" s="6">
        <f t="shared" si="0"/>
        <v>0</v>
      </c>
      <c r="D22" s="36">
        <f t="shared" si="1"/>
        <v>40</v>
      </c>
      <c r="F22" s="36" cm="1">
        <f t="array" ref="F22">_xlfn.IFS(LEFT(A14,1)&lt;="F",0,LEFT(A14,1)&lt;="M",1,LEFT(A14,1)&lt;="Z",2)</f>
        <v>1</v>
      </c>
    </row>
    <row r="23" spans="1:6" ht="13.8" x14ac:dyDescent="0.25">
      <c r="A23" s="9" t="s">
        <v>25</v>
      </c>
      <c r="B23" s="7">
        <v>0.5</v>
      </c>
      <c r="C23" s="6">
        <f t="shared" si="0"/>
        <v>0</v>
      </c>
      <c r="D23" s="36">
        <f t="shared" si="1"/>
        <v>2</v>
      </c>
      <c r="F23" s="36" cm="1">
        <f t="array" ref="F23">_xlfn.IFS(LEFT(A15,1)&lt;="F",0,LEFT(A15,1)&lt;="M",1,LEFT(A15,1)&lt;="Z",2)</f>
        <v>2</v>
      </c>
    </row>
    <row r="24" spans="1:6" ht="13.8" x14ac:dyDescent="0.25">
      <c r="A24" s="9" t="s">
        <v>26</v>
      </c>
      <c r="B24" s="7">
        <v>1</v>
      </c>
      <c r="C24" s="6">
        <f t="shared" si="0"/>
        <v>1</v>
      </c>
      <c r="D24" s="36">
        <f t="shared" si="1"/>
        <v>3</v>
      </c>
      <c r="F24" s="36" cm="1">
        <f t="array" ref="F24">_xlfn.IFS(LEFT(A16,1)&lt;="F",0,LEFT(A16,1)&lt;="M",1,LEFT(A16,1)&lt;="Z",2)</f>
        <v>2</v>
      </c>
    </row>
    <row r="25" spans="1:6" ht="13.8" x14ac:dyDescent="0.25">
      <c r="A25" s="9" t="s">
        <v>27</v>
      </c>
      <c r="B25" s="7">
        <v>2</v>
      </c>
      <c r="C25" s="6">
        <f t="shared" si="0"/>
        <v>1</v>
      </c>
      <c r="D25" s="36">
        <f t="shared" si="1"/>
        <v>6</v>
      </c>
      <c r="F25" s="36" cm="1">
        <f t="array" ref="F25">_xlfn.IFS(LEFT(A17,1)&lt;="F",0,LEFT(A17,1)&lt;="M",1,LEFT(A17,1)&lt;="Z",2)</f>
        <v>2</v>
      </c>
    </row>
    <row r="26" spans="1:6" ht="13.8" x14ac:dyDescent="0.25">
      <c r="A26" s="9" t="s">
        <v>28</v>
      </c>
      <c r="B26" s="7">
        <v>3</v>
      </c>
      <c r="C26" s="6">
        <f t="shared" si="0"/>
        <v>1</v>
      </c>
      <c r="D26" s="36">
        <f t="shared" si="1"/>
        <v>9</v>
      </c>
      <c r="F26" s="36" cm="1">
        <f t="array" ref="F26">_xlfn.IFS(LEFT(A18,1)&lt;="F",0,LEFT(A18,1)&lt;="M",1,LEFT(A18,1)&lt;="Z",2)</f>
        <v>2</v>
      </c>
    </row>
    <row r="27" spans="1:6" ht="13.8" x14ac:dyDescent="0.25">
      <c r="A27" s="9" t="s">
        <v>29</v>
      </c>
      <c r="B27" s="7">
        <v>4</v>
      </c>
      <c r="C27" s="6">
        <f t="shared" si="0"/>
        <v>1</v>
      </c>
      <c r="D27" s="36">
        <f t="shared" si="1"/>
        <v>12</v>
      </c>
      <c r="F27" s="36" cm="1">
        <f t="array" ref="F27">_xlfn.IFS(LEFT(A19,1)&lt;="F",0,LEFT(A19,1)&lt;="M",1,LEFT(A19,1)&lt;="Z",2)</f>
        <v>2</v>
      </c>
    </row>
    <row r="28" spans="1:6" ht="13.8" x14ac:dyDescent="0.25">
      <c r="A28" s="9" t="s">
        <v>30</v>
      </c>
      <c r="B28" s="7">
        <v>5</v>
      </c>
      <c r="C28" s="6">
        <f t="shared" si="0"/>
        <v>2</v>
      </c>
      <c r="D28" s="36">
        <f t="shared" si="1"/>
        <v>10</v>
      </c>
      <c r="F28" s="36" cm="1">
        <f t="array" ref="F28">_xlfn.IFS(LEFT(A20,1)&lt;="F",0,LEFT(A20,1)&lt;="M",1,LEFT(A20,1)&lt;="Z",2)</f>
        <v>2</v>
      </c>
    </row>
    <row r="29" spans="1:6" ht="13.8" x14ac:dyDescent="0.25">
      <c r="A29" s="9" t="s">
        <v>31</v>
      </c>
      <c r="B29" s="7">
        <v>6</v>
      </c>
      <c r="C29" s="6">
        <f t="shared" si="0"/>
        <v>2</v>
      </c>
      <c r="D29" s="36">
        <f t="shared" si="1"/>
        <v>12</v>
      </c>
      <c r="F29" s="36" cm="1">
        <f t="array" ref="F29">_xlfn.IFS(LEFT(A21,1)&lt;="F",0,LEFT(A21,1)&lt;="M",1,LEFT(A21,1)&lt;="Z",2)</f>
        <v>0</v>
      </c>
    </row>
    <row r="30" spans="1:6" ht="13.8" x14ac:dyDescent="0.25">
      <c r="A30" s="9" t="s">
        <v>32</v>
      </c>
      <c r="B30" s="7">
        <v>7</v>
      </c>
      <c r="C30" s="6">
        <f t="shared" si="0"/>
        <v>2</v>
      </c>
      <c r="D30" s="36">
        <f t="shared" si="1"/>
        <v>14</v>
      </c>
      <c r="F30" s="36" cm="1">
        <f t="array" ref="F30">_xlfn.IFS(LEFT(A22,1)&lt;="F",0,LEFT(A22,1)&lt;="M",1,LEFT(A22,1)&lt;="Z",2)</f>
        <v>0</v>
      </c>
    </row>
    <row r="31" spans="1:6" ht="13.8" x14ac:dyDescent="0.25">
      <c r="A31" s="9" t="s">
        <v>33</v>
      </c>
      <c r="B31" s="7">
        <v>8</v>
      </c>
      <c r="C31" s="6">
        <f t="shared" si="0"/>
        <v>2</v>
      </c>
      <c r="D31" s="36">
        <f t="shared" si="1"/>
        <v>16</v>
      </c>
      <c r="F31" s="36" cm="1">
        <f t="array" ref="F31">_xlfn.IFS(LEFT(A23,1)&lt;="F",0,LEFT(A23,1)&lt;="M",1,LEFT(A23,1)&lt;="Z",2)</f>
        <v>0</v>
      </c>
    </row>
    <row r="32" spans="1:6" ht="13.8" x14ac:dyDescent="0.25">
      <c r="A32" s="9" t="s">
        <v>34</v>
      </c>
      <c r="B32" s="7">
        <v>9</v>
      </c>
      <c r="C32" s="6">
        <f t="shared" si="0"/>
        <v>2</v>
      </c>
      <c r="D32" s="36">
        <f t="shared" si="1"/>
        <v>18</v>
      </c>
      <c r="F32" s="36" cm="1">
        <f t="array" ref="F32">_xlfn.IFS(LEFT(A24,1)&lt;="F",0,LEFT(A24,1)&lt;="M",1,LEFT(A24,1)&lt;="Z",2)</f>
        <v>1</v>
      </c>
    </row>
    <row r="33" spans="1:6" ht="13.8" x14ac:dyDescent="0.25">
      <c r="A33" s="9" t="s">
        <v>35</v>
      </c>
      <c r="B33" s="7">
        <v>10</v>
      </c>
      <c r="C33" s="6">
        <f t="shared" si="0"/>
        <v>2</v>
      </c>
      <c r="D33" s="36">
        <f t="shared" si="1"/>
        <v>20</v>
      </c>
      <c r="F33" s="36" cm="1">
        <f t="array" ref="F33">_xlfn.IFS(LEFT(A25,1)&lt;="F",0,LEFT(A25,1)&lt;="M",1,LEFT(A25,1)&lt;="Z",2)</f>
        <v>1</v>
      </c>
    </row>
    <row r="34" spans="1:6" ht="13.8" x14ac:dyDescent="0.25">
      <c r="A34" s="9" t="s">
        <v>36</v>
      </c>
      <c r="B34" s="7">
        <v>0.5</v>
      </c>
      <c r="C34" s="6">
        <f t="shared" si="0"/>
        <v>0</v>
      </c>
      <c r="D34" s="36">
        <f t="shared" si="1"/>
        <v>2</v>
      </c>
      <c r="F34" s="36" cm="1">
        <f t="array" ref="F34">_xlfn.IFS(LEFT(A26,1)&lt;="F",0,LEFT(A26,1)&lt;="M",1,LEFT(A26,1)&lt;="Z",2)</f>
        <v>1</v>
      </c>
    </row>
    <row r="35" spans="1:6" ht="13.8" x14ac:dyDescent="0.25">
      <c r="A35" s="9" t="s">
        <v>37</v>
      </c>
      <c r="B35" s="7">
        <v>1</v>
      </c>
      <c r="C35" s="6">
        <f t="shared" si="0"/>
        <v>0</v>
      </c>
      <c r="D35" s="36">
        <f t="shared" si="1"/>
        <v>4</v>
      </c>
      <c r="F35" s="36" cm="1">
        <f t="array" ref="F35">_xlfn.IFS(LEFT(A27,1)&lt;="F",0,LEFT(A27,1)&lt;="M",1,LEFT(A27,1)&lt;="Z",2)</f>
        <v>1</v>
      </c>
    </row>
    <row r="36" spans="1:6" ht="13.8" x14ac:dyDescent="0.25">
      <c r="A36" s="9" t="s">
        <v>38</v>
      </c>
      <c r="B36" s="7">
        <v>2</v>
      </c>
      <c r="C36" s="6">
        <f t="shared" si="0"/>
        <v>0</v>
      </c>
      <c r="D36" s="36">
        <f t="shared" si="1"/>
        <v>8</v>
      </c>
      <c r="F36" s="36" cm="1">
        <f t="array" ref="F36">_xlfn.IFS(LEFT(A28,1)&lt;="F",0,LEFT(A28,1)&lt;="M",1,LEFT(A28,1)&lt;="Z",2)</f>
        <v>2</v>
      </c>
    </row>
    <row r="37" spans="1:6" ht="13.8" x14ac:dyDescent="0.25">
      <c r="A37" s="9" t="s">
        <v>39</v>
      </c>
      <c r="B37" s="7">
        <v>3</v>
      </c>
      <c r="C37" s="6">
        <f t="shared" si="0"/>
        <v>1</v>
      </c>
      <c r="D37" s="36">
        <f t="shared" si="1"/>
        <v>9</v>
      </c>
      <c r="F37" s="36" cm="1">
        <f t="array" ref="F37">_xlfn.IFS(LEFT(A29,1)&lt;="F",0,LEFT(A29,1)&lt;="M",1,LEFT(A29,1)&lt;="Z",2)</f>
        <v>2</v>
      </c>
    </row>
    <row r="38" spans="1:6" ht="13.8" x14ac:dyDescent="0.25">
      <c r="A38" s="9" t="s">
        <v>40</v>
      </c>
      <c r="B38" s="7">
        <v>4</v>
      </c>
      <c r="C38" s="6">
        <f t="shared" si="0"/>
        <v>1</v>
      </c>
      <c r="D38" s="36">
        <f t="shared" si="1"/>
        <v>12</v>
      </c>
      <c r="F38" s="36" cm="1">
        <f t="array" ref="F38">_xlfn.IFS(LEFT(A30,1)&lt;="F",0,LEFT(A30,1)&lt;="M",1,LEFT(A30,1)&lt;="Z",2)</f>
        <v>2</v>
      </c>
    </row>
    <row r="39" spans="1:6" ht="13.8" x14ac:dyDescent="0.25">
      <c r="A39" s="9" t="s">
        <v>41</v>
      </c>
      <c r="B39" s="7">
        <v>5</v>
      </c>
      <c r="C39" s="6">
        <f t="shared" si="0"/>
        <v>1</v>
      </c>
      <c r="D39" s="36">
        <f t="shared" si="1"/>
        <v>15</v>
      </c>
      <c r="F39" s="36" cm="1">
        <f t="array" ref="F39">_xlfn.IFS(LEFT(A31,1)&lt;="F",0,LEFT(A31,1)&lt;="M",1,LEFT(A31,1)&lt;="Z",2)</f>
        <v>2</v>
      </c>
    </row>
    <row r="40" spans="1:6" ht="13.8" x14ac:dyDescent="0.25">
      <c r="A40" s="9" t="s">
        <v>42</v>
      </c>
      <c r="B40" s="7">
        <v>6</v>
      </c>
      <c r="C40" s="6">
        <f t="shared" si="0"/>
        <v>1</v>
      </c>
      <c r="D40" s="36">
        <f t="shared" si="1"/>
        <v>18</v>
      </c>
      <c r="F40" s="36" cm="1">
        <f t="array" ref="F40">_xlfn.IFS(LEFT(A32,1)&lt;="F",0,LEFT(A32,1)&lt;="M",1,LEFT(A32,1)&lt;="Z",2)</f>
        <v>2</v>
      </c>
    </row>
    <row r="41" spans="1:6" ht="13.8" x14ac:dyDescent="0.25">
      <c r="A41" s="9" t="s">
        <v>43</v>
      </c>
      <c r="B41" s="7">
        <v>7</v>
      </c>
      <c r="C41" s="6">
        <f t="shared" si="0"/>
        <v>2</v>
      </c>
      <c r="D41" s="36">
        <f t="shared" si="1"/>
        <v>14</v>
      </c>
      <c r="F41" s="36" cm="1">
        <f t="array" ref="F41">_xlfn.IFS(LEFT(A33,1)&lt;="F",0,LEFT(A33,1)&lt;="M",1,LEFT(A33,1)&lt;="Z",2)</f>
        <v>2</v>
      </c>
    </row>
    <row r="42" spans="1:6" ht="13.8" x14ac:dyDescent="0.25">
      <c r="A42" s="9" t="s">
        <v>44</v>
      </c>
      <c r="B42" s="7">
        <v>8</v>
      </c>
      <c r="C42" s="6">
        <f t="shared" si="0"/>
        <v>2</v>
      </c>
      <c r="D42" s="36">
        <f t="shared" si="1"/>
        <v>16</v>
      </c>
      <c r="F42" s="36" cm="1">
        <f t="array" ref="F42">_xlfn.IFS(LEFT(A34,1)&lt;="F",0,LEFT(A34,1)&lt;="M",1,LEFT(A34,1)&lt;="Z",2)</f>
        <v>0</v>
      </c>
    </row>
    <row r="43" spans="1:6" ht="13.8" x14ac:dyDescent="0.25">
      <c r="A43" s="9" t="s">
        <v>45</v>
      </c>
      <c r="B43" s="7">
        <v>9</v>
      </c>
      <c r="C43" s="6">
        <f t="shared" si="0"/>
        <v>2</v>
      </c>
      <c r="D43" s="36">
        <f t="shared" si="1"/>
        <v>18</v>
      </c>
      <c r="F43" s="36" cm="1">
        <f t="array" ref="F43">_xlfn.IFS(LEFT(A35,1)&lt;="F",0,LEFT(A35,1)&lt;="M",1,LEFT(A35,1)&lt;="Z",2)</f>
        <v>0</v>
      </c>
    </row>
    <row r="44" spans="1:6" ht="13.8" x14ac:dyDescent="0.25">
      <c r="A44" s="9" t="s">
        <v>7</v>
      </c>
      <c r="B44" s="7">
        <v>10</v>
      </c>
      <c r="C44" s="6">
        <f t="shared" si="0"/>
        <v>2</v>
      </c>
      <c r="D44" s="36">
        <f t="shared" si="1"/>
        <v>20</v>
      </c>
      <c r="F44" s="36" cm="1">
        <f t="array" ref="F44">_xlfn.IFS(LEFT(A36,1)&lt;="F",0,LEFT(A36,1)&lt;="M",1,LEFT(A36,1)&lt;="Z",2)</f>
        <v>0</v>
      </c>
    </row>
    <row r="45" spans="1:6" ht="13.8" x14ac:dyDescent="0.25">
      <c r="A45" s="9" t="s">
        <v>46</v>
      </c>
      <c r="B45" s="7">
        <v>0.5</v>
      </c>
      <c r="C45" s="6">
        <f t="shared" si="0"/>
        <v>2</v>
      </c>
      <c r="D45" s="36">
        <f t="shared" si="1"/>
        <v>1</v>
      </c>
      <c r="F45" s="36" cm="1">
        <f t="array" ref="F45">_xlfn.IFS(LEFT(A37,1)&lt;="F",0,LEFT(A37,1)&lt;="M",1,LEFT(A37,1)&lt;="Z",2)</f>
        <v>1</v>
      </c>
    </row>
    <row r="46" spans="1:6" ht="13.8" x14ac:dyDescent="0.25">
      <c r="A46" s="9" t="s">
        <v>47</v>
      </c>
      <c r="B46" s="7">
        <v>1</v>
      </c>
      <c r="C46" s="6">
        <f t="shared" si="0"/>
        <v>2</v>
      </c>
      <c r="D46" s="36">
        <f t="shared" si="1"/>
        <v>2</v>
      </c>
      <c r="F46" s="36" cm="1">
        <f t="array" ref="F46">_xlfn.IFS(LEFT(A38,1)&lt;="F",0,LEFT(A38,1)&lt;="M",1,LEFT(A38,1)&lt;="Z",2)</f>
        <v>1</v>
      </c>
    </row>
    <row r="47" spans="1:6" ht="13.8" x14ac:dyDescent="0.25">
      <c r="A47" s="9" t="s">
        <v>48</v>
      </c>
      <c r="B47" s="7">
        <v>2</v>
      </c>
      <c r="C47" s="6">
        <f t="shared" si="0"/>
        <v>0</v>
      </c>
      <c r="D47" s="36">
        <f t="shared" si="1"/>
        <v>8</v>
      </c>
      <c r="F47" s="36" cm="1">
        <f t="array" ref="F47">_xlfn.IFS(LEFT(A39,1)&lt;="F",0,LEFT(A39,1)&lt;="M",1,LEFT(A39,1)&lt;="Z",2)</f>
        <v>1</v>
      </c>
    </row>
    <row r="48" spans="1:6" ht="13.8" x14ac:dyDescent="0.25">
      <c r="A48" s="9" t="s">
        <v>49</v>
      </c>
      <c r="B48" s="7">
        <v>3</v>
      </c>
      <c r="C48" s="6">
        <f t="shared" si="0"/>
        <v>0</v>
      </c>
      <c r="D48" s="36">
        <f t="shared" si="1"/>
        <v>12</v>
      </c>
      <c r="F48" s="36" cm="1">
        <f t="array" ref="F48">_xlfn.IFS(LEFT(A40,1)&lt;="F",0,LEFT(A40,1)&lt;="M",1,LEFT(A40,1)&lt;="Z",2)</f>
        <v>1</v>
      </c>
    </row>
    <row r="49" spans="1:6" ht="13.8" x14ac:dyDescent="0.25">
      <c r="A49" s="9" t="s">
        <v>50</v>
      </c>
      <c r="B49" s="7">
        <v>4</v>
      </c>
      <c r="C49" s="6">
        <f t="shared" si="0"/>
        <v>0</v>
      </c>
      <c r="D49" s="36">
        <f t="shared" si="1"/>
        <v>16</v>
      </c>
      <c r="F49" s="36" cm="1">
        <f t="array" ref="F49">_xlfn.IFS(LEFT(A41,1)&lt;="F",0,LEFT(A41,1)&lt;="M",1,LEFT(A41,1)&lt;="Z",2)</f>
        <v>2</v>
      </c>
    </row>
    <row r="50" spans="1:6" ht="13.8" x14ac:dyDescent="0.25">
      <c r="A50" s="9" t="s">
        <v>51</v>
      </c>
      <c r="B50" s="7">
        <v>5</v>
      </c>
      <c r="C50" s="6">
        <f t="shared" si="0"/>
        <v>1</v>
      </c>
      <c r="D50" s="36">
        <f t="shared" si="1"/>
        <v>15</v>
      </c>
      <c r="F50" s="36" cm="1">
        <f t="array" ref="F50">_xlfn.IFS(LEFT(A42,1)&lt;="F",0,LEFT(A42,1)&lt;="M",1,LEFT(A42,1)&lt;="Z",2)</f>
        <v>2</v>
      </c>
    </row>
    <row r="51" spans="1:6" ht="13.8" x14ac:dyDescent="0.25">
      <c r="A51" s="9" t="s">
        <v>52</v>
      </c>
      <c r="B51" s="7">
        <v>6</v>
      </c>
      <c r="C51" s="6">
        <f t="shared" si="0"/>
        <v>1</v>
      </c>
      <c r="D51" s="36">
        <f t="shared" si="1"/>
        <v>18</v>
      </c>
      <c r="F51" s="36" cm="1">
        <f t="array" ref="F51">_xlfn.IFS(LEFT(A43,1)&lt;="F",0,LEFT(A43,1)&lt;="M",1,LEFT(A43,1)&lt;="Z",2)</f>
        <v>2</v>
      </c>
    </row>
    <row r="52" spans="1:6" ht="13.8" x14ac:dyDescent="0.25">
      <c r="A52" s="9" t="s">
        <v>53</v>
      </c>
      <c r="B52" s="7">
        <v>7</v>
      </c>
      <c r="C52" s="6">
        <f t="shared" si="0"/>
        <v>1</v>
      </c>
      <c r="D52" s="36">
        <f t="shared" si="1"/>
        <v>21</v>
      </c>
      <c r="F52" s="36" cm="1">
        <f t="array" ref="F52">_xlfn.IFS(LEFT(A44,1)&lt;="F",0,LEFT(A44,1)&lt;="M",1,LEFT(A44,1)&lt;="Z",2)</f>
        <v>2</v>
      </c>
    </row>
    <row r="53" spans="1:6" ht="13.8" x14ac:dyDescent="0.25">
      <c r="A53" s="9" t="s">
        <v>54</v>
      </c>
      <c r="B53" s="7">
        <v>8</v>
      </c>
      <c r="C53" s="6">
        <f t="shared" si="0"/>
        <v>1</v>
      </c>
      <c r="D53" s="36">
        <f t="shared" si="1"/>
        <v>24</v>
      </c>
      <c r="F53" s="36" cm="1">
        <f t="array" ref="F53">_xlfn.IFS(LEFT(A45,1)&lt;="F",0,LEFT(A45,1)&lt;="M",1,LEFT(A45,1)&lt;="Z",2)</f>
        <v>2</v>
      </c>
    </row>
    <row r="54" spans="1:6" ht="13.8" x14ac:dyDescent="0.25">
      <c r="A54" s="9" t="s">
        <v>55</v>
      </c>
      <c r="B54" s="7">
        <v>9</v>
      </c>
      <c r="C54" s="6">
        <f t="shared" si="0"/>
        <v>2</v>
      </c>
      <c r="D54" s="36">
        <f t="shared" si="1"/>
        <v>18</v>
      </c>
      <c r="F54" s="36" cm="1">
        <f t="array" ref="F54">_xlfn.IFS(LEFT(A46,1)&lt;="F",0,LEFT(A46,1)&lt;="M",1,LEFT(A46,1)&lt;="Z",2)</f>
        <v>2</v>
      </c>
    </row>
    <row r="55" spans="1:6" ht="13.8" x14ac:dyDescent="0.25">
      <c r="A55" s="9" t="s">
        <v>56</v>
      </c>
      <c r="B55" s="7">
        <v>10</v>
      </c>
      <c r="C55" s="6">
        <f t="shared" si="0"/>
        <v>2</v>
      </c>
      <c r="D55" s="36">
        <f t="shared" si="1"/>
        <v>20</v>
      </c>
      <c r="F55" s="36" cm="1">
        <f t="array" ref="F55">_xlfn.IFS(LEFT(A47,1)&lt;="F",0,LEFT(A47,1)&lt;="M",1,LEFT(A47,1)&lt;="Z",2)</f>
        <v>0</v>
      </c>
    </row>
    <row r="56" spans="1:6" ht="13.8" x14ac:dyDescent="0.25">
      <c r="A56" s="9" t="s">
        <v>57</v>
      </c>
      <c r="B56" s="7">
        <v>0.5</v>
      </c>
      <c r="C56" s="6">
        <f t="shared" si="0"/>
        <v>2</v>
      </c>
      <c r="D56" s="36">
        <f t="shared" si="1"/>
        <v>1</v>
      </c>
      <c r="F56" s="36" cm="1">
        <f t="array" ref="F56">_xlfn.IFS(LEFT(A48,1)&lt;="F",0,LEFT(A48,1)&lt;="M",1,LEFT(A48,1)&lt;="Z",2)</f>
        <v>0</v>
      </c>
    </row>
    <row r="57" spans="1:6" ht="13.8" x14ac:dyDescent="0.25">
      <c r="A57" s="9" t="s">
        <v>58</v>
      </c>
      <c r="B57" s="7">
        <v>1</v>
      </c>
      <c r="C57" s="6">
        <f t="shared" si="0"/>
        <v>2</v>
      </c>
      <c r="D57" s="36">
        <f t="shared" si="1"/>
        <v>2</v>
      </c>
      <c r="F57" s="36" cm="1">
        <f t="array" ref="F57">_xlfn.IFS(LEFT(A49,1)&lt;="F",0,LEFT(A49,1)&lt;="M",1,LEFT(A49,1)&lt;="Z",2)</f>
        <v>0</v>
      </c>
    </row>
    <row r="58" spans="1:6" ht="13.8" x14ac:dyDescent="0.25">
      <c r="A58" s="9" t="s">
        <v>59</v>
      </c>
      <c r="B58" s="7">
        <v>2</v>
      </c>
      <c r="C58" s="6">
        <f t="shared" si="0"/>
        <v>2</v>
      </c>
      <c r="D58" s="36">
        <f t="shared" si="1"/>
        <v>4</v>
      </c>
      <c r="F58" s="36" cm="1">
        <f t="array" ref="F58">_xlfn.IFS(LEFT(A50,1)&lt;="F",0,LEFT(A50,1)&lt;="M",1,LEFT(A50,1)&lt;="Z",2)</f>
        <v>1</v>
      </c>
    </row>
    <row r="59" spans="1:6" ht="13.8" x14ac:dyDescent="0.25">
      <c r="A59" s="9" t="s">
        <v>60</v>
      </c>
      <c r="B59" s="7">
        <v>3</v>
      </c>
      <c r="C59" s="6">
        <f t="shared" si="0"/>
        <v>2</v>
      </c>
      <c r="D59" s="36">
        <f t="shared" si="1"/>
        <v>6</v>
      </c>
      <c r="F59" s="36" cm="1">
        <f t="array" ref="F59">_xlfn.IFS(LEFT(A51,1)&lt;="F",0,LEFT(A51,1)&lt;="M",1,LEFT(A51,1)&lt;="Z",2)</f>
        <v>1</v>
      </c>
    </row>
    <row r="60" spans="1:6" ht="13.8" x14ac:dyDescent="0.25">
      <c r="A60" s="9" t="s">
        <v>61</v>
      </c>
      <c r="B60" s="7">
        <v>4</v>
      </c>
      <c r="C60" s="6">
        <f t="shared" si="0"/>
        <v>0</v>
      </c>
      <c r="D60" s="36">
        <f t="shared" si="1"/>
        <v>16</v>
      </c>
      <c r="F60" s="36" cm="1">
        <f t="array" ref="F60">_xlfn.IFS(LEFT(A52,1)&lt;="F",0,LEFT(A52,1)&lt;="M",1,LEFT(A52,1)&lt;="Z",2)</f>
        <v>1</v>
      </c>
    </row>
    <row r="61" spans="1:6" ht="13.8" x14ac:dyDescent="0.25">
      <c r="A61" s="9" t="s">
        <v>62</v>
      </c>
      <c r="B61" s="7">
        <v>5</v>
      </c>
      <c r="C61" s="6">
        <f t="shared" si="0"/>
        <v>0</v>
      </c>
      <c r="D61" s="36">
        <f t="shared" si="1"/>
        <v>20</v>
      </c>
      <c r="F61" s="36" cm="1">
        <f t="array" ref="F61">_xlfn.IFS(LEFT(A53,1)&lt;="F",0,LEFT(A53,1)&lt;="M",1,LEFT(A53,1)&lt;="Z",2)</f>
        <v>1</v>
      </c>
    </row>
    <row r="62" spans="1:6" ht="13.8" x14ac:dyDescent="0.25">
      <c r="A62" s="9" t="s">
        <v>63</v>
      </c>
      <c r="B62" s="7">
        <v>6</v>
      </c>
      <c r="C62" s="6">
        <f t="shared" si="0"/>
        <v>0</v>
      </c>
      <c r="D62" s="36">
        <f t="shared" si="1"/>
        <v>24</v>
      </c>
      <c r="F62" s="36" cm="1">
        <f t="array" ref="F62">_xlfn.IFS(LEFT(A54,1)&lt;="F",0,LEFT(A54,1)&lt;="M",1,LEFT(A54,1)&lt;="Z",2)</f>
        <v>2</v>
      </c>
    </row>
    <row r="63" spans="1:6" ht="13.8" x14ac:dyDescent="0.25">
      <c r="A63" s="9" t="s">
        <v>64</v>
      </c>
      <c r="B63" s="7">
        <v>7</v>
      </c>
      <c r="C63" s="6">
        <f t="shared" si="0"/>
        <v>1</v>
      </c>
      <c r="D63" s="36">
        <f t="shared" si="1"/>
        <v>21</v>
      </c>
      <c r="F63" s="36" cm="1">
        <f t="array" ref="F63">_xlfn.IFS(LEFT(A55,1)&lt;="F",0,LEFT(A55,1)&lt;="M",1,LEFT(A55,1)&lt;="Z",2)</f>
        <v>2</v>
      </c>
    </row>
    <row r="64" spans="1:6" ht="13.8" x14ac:dyDescent="0.25">
      <c r="A64" s="9" t="s">
        <v>65</v>
      </c>
      <c r="B64" s="7">
        <v>8</v>
      </c>
      <c r="C64" s="6">
        <f t="shared" si="0"/>
        <v>1</v>
      </c>
      <c r="D64" s="36">
        <f t="shared" si="1"/>
        <v>24</v>
      </c>
      <c r="F64" s="36" cm="1">
        <f t="array" ref="F64">_xlfn.IFS(LEFT(A56,1)&lt;="F",0,LEFT(A56,1)&lt;="M",1,LEFT(A56,1)&lt;="Z",2)</f>
        <v>2</v>
      </c>
    </row>
    <row r="65" spans="1:6" ht="13.8" x14ac:dyDescent="0.25">
      <c r="A65" s="9" t="s">
        <v>66</v>
      </c>
      <c r="B65" s="7">
        <v>9</v>
      </c>
      <c r="C65" s="6">
        <f t="shared" si="0"/>
        <v>1</v>
      </c>
      <c r="D65" s="36">
        <f t="shared" si="1"/>
        <v>27</v>
      </c>
      <c r="F65" s="36" cm="1">
        <f t="array" ref="F65">_xlfn.IFS(LEFT(A57,1)&lt;="F",0,LEFT(A57,1)&lt;="M",1,LEFT(A57,1)&lt;="Z",2)</f>
        <v>2</v>
      </c>
    </row>
    <row r="66" spans="1:6" ht="13.8" x14ac:dyDescent="0.25">
      <c r="A66" s="9" t="s">
        <v>67</v>
      </c>
      <c r="B66" s="7">
        <v>10</v>
      </c>
      <c r="C66" s="6">
        <f t="shared" si="0"/>
        <v>1</v>
      </c>
      <c r="D66" s="36">
        <f t="shared" si="1"/>
        <v>30</v>
      </c>
      <c r="F66" s="36" cm="1">
        <f t="array" ref="F66">_xlfn.IFS(LEFT(A58,1)&lt;="F",0,LEFT(A58,1)&lt;="M",1,LEFT(A58,1)&lt;="Z",2)</f>
        <v>2</v>
      </c>
    </row>
    <row r="67" spans="1:6" ht="13.8" x14ac:dyDescent="0.25">
      <c r="A67" s="9" t="s">
        <v>68</v>
      </c>
      <c r="B67" s="7">
        <v>0.5</v>
      </c>
      <c r="C67" s="6">
        <f t="shared" ref="C67:C101" si="2">IF(LEFT(A67,1)&lt;="F",0,IF(LEFT(A67,1)&lt;="M",1,2))</f>
        <v>2</v>
      </c>
      <c r="D67" s="36">
        <f t="shared" ref="D67:D101" si="3">IF(C67=$F$2, B67*$G$2, IF(C67=$F$3, B67*$G$3, B67*$G$4))</f>
        <v>1</v>
      </c>
      <c r="F67" s="36" cm="1">
        <f t="array" ref="F67">_xlfn.IFS(LEFT(A59,1)&lt;="F",0,LEFT(A59,1)&lt;="M",1,LEFT(A59,1)&lt;="Z",2)</f>
        <v>2</v>
      </c>
    </row>
    <row r="68" spans="1:6" ht="13.8" x14ac:dyDescent="0.25">
      <c r="A68" s="9" t="s">
        <v>69</v>
      </c>
      <c r="B68" s="7">
        <v>1</v>
      </c>
      <c r="C68" s="6">
        <f t="shared" si="2"/>
        <v>2</v>
      </c>
      <c r="D68" s="36">
        <f t="shared" si="3"/>
        <v>2</v>
      </c>
      <c r="F68" s="36" cm="1">
        <f t="array" ref="F68">_xlfn.IFS(LEFT(A60,1)&lt;="F",0,LEFT(A60,1)&lt;="M",1,LEFT(A60,1)&lt;="Z",2)</f>
        <v>0</v>
      </c>
    </row>
    <row r="69" spans="1:6" ht="13.8" x14ac:dyDescent="0.25">
      <c r="A69" s="9" t="s">
        <v>70</v>
      </c>
      <c r="B69" s="7">
        <v>2</v>
      </c>
      <c r="C69" s="6">
        <f t="shared" si="2"/>
        <v>2</v>
      </c>
      <c r="D69" s="36">
        <f t="shared" si="3"/>
        <v>4</v>
      </c>
      <c r="F69" s="36" cm="1">
        <f t="array" ref="F69">_xlfn.IFS(LEFT(A61,1)&lt;="F",0,LEFT(A61,1)&lt;="M",1,LEFT(A61,1)&lt;="Z",2)</f>
        <v>0</v>
      </c>
    </row>
    <row r="70" spans="1:6" ht="13.8" x14ac:dyDescent="0.25">
      <c r="A70" s="9" t="s">
        <v>71</v>
      </c>
      <c r="B70" s="7">
        <v>3</v>
      </c>
      <c r="C70" s="6">
        <f t="shared" si="2"/>
        <v>2</v>
      </c>
      <c r="D70" s="36">
        <f t="shared" si="3"/>
        <v>6</v>
      </c>
      <c r="F70" s="36" cm="1">
        <f t="array" ref="F70">_xlfn.IFS(LEFT(A62,1)&lt;="F",0,LEFT(A62,1)&lt;="M",1,LEFT(A62,1)&lt;="Z",2)</f>
        <v>0</v>
      </c>
    </row>
    <row r="71" spans="1:6" ht="13.8" x14ac:dyDescent="0.25">
      <c r="A71" s="9" t="s">
        <v>72</v>
      </c>
      <c r="B71" s="7">
        <v>4</v>
      </c>
      <c r="C71" s="6">
        <f t="shared" si="2"/>
        <v>2</v>
      </c>
      <c r="D71" s="36">
        <f t="shared" si="3"/>
        <v>8</v>
      </c>
      <c r="F71" s="36" cm="1">
        <f t="array" ref="F71">_xlfn.IFS(LEFT(A63,1)&lt;="F",0,LEFT(A63,1)&lt;="M",1,LEFT(A63,1)&lt;="Z",2)</f>
        <v>1</v>
      </c>
    </row>
    <row r="72" spans="1:6" ht="13.8" x14ac:dyDescent="0.25">
      <c r="A72" s="9" t="s">
        <v>73</v>
      </c>
      <c r="B72" s="7">
        <v>5</v>
      </c>
      <c r="C72" s="6">
        <f t="shared" si="2"/>
        <v>2</v>
      </c>
      <c r="D72" s="36">
        <f t="shared" si="3"/>
        <v>10</v>
      </c>
      <c r="F72" s="36" cm="1">
        <f t="array" ref="F72">_xlfn.IFS(LEFT(A64,1)&lt;="F",0,LEFT(A64,1)&lt;="M",1,LEFT(A64,1)&lt;="Z",2)</f>
        <v>1</v>
      </c>
    </row>
    <row r="73" spans="1:6" ht="13.8" x14ac:dyDescent="0.25">
      <c r="A73" s="9" t="s">
        <v>74</v>
      </c>
      <c r="B73" s="7">
        <v>6</v>
      </c>
      <c r="C73" s="6">
        <f t="shared" si="2"/>
        <v>0</v>
      </c>
      <c r="D73" s="36">
        <f t="shared" si="3"/>
        <v>24</v>
      </c>
      <c r="F73" s="36" cm="1">
        <f t="array" ref="F73">_xlfn.IFS(LEFT(A65,1)&lt;="F",0,LEFT(A65,1)&lt;="M",1,LEFT(A65,1)&lt;="Z",2)</f>
        <v>1</v>
      </c>
    </row>
    <row r="74" spans="1:6" ht="13.8" x14ac:dyDescent="0.25">
      <c r="A74" s="9" t="s">
        <v>75</v>
      </c>
      <c r="B74" s="7">
        <v>7</v>
      </c>
      <c r="C74" s="6">
        <f t="shared" si="2"/>
        <v>0</v>
      </c>
      <c r="D74" s="36">
        <f t="shared" si="3"/>
        <v>28</v>
      </c>
      <c r="F74" s="36" cm="1">
        <f t="array" ref="F74">_xlfn.IFS(LEFT(A66,1)&lt;="F",0,LEFT(A66,1)&lt;="M",1,LEFT(A66,1)&lt;="Z",2)</f>
        <v>1</v>
      </c>
    </row>
    <row r="75" spans="1:6" ht="13.8" x14ac:dyDescent="0.25">
      <c r="A75" s="9" t="s">
        <v>76</v>
      </c>
      <c r="B75" s="7">
        <v>8</v>
      </c>
      <c r="C75" s="6">
        <f t="shared" si="2"/>
        <v>0</v>
      </c>
      <c r="D75" s="36">
        <f t="shared" si="3"/>
        <v>32</v>
      </c>
      <c r="F75" s="36" cm="1">
        <f t="array" ref="F75">_xlfn.IFS(LEFT(A67,1)&lt;="F",0,LEFT(A67,1)&lt;="M",1,LEFT(A67,1)&lt;="Z",2)</f>
        <v>2</v>
      </c>
    </row>
    <row r="76" spans="1:6" ht="13.8" x14ac:dyDescent="0.25">
      <c r="A76" s="9" t="s">
        <v>77</v>
      </c>
      <c r="B76" s="7">
        <v>9</v>
      </c>
      <c r="C76" s="6">
        <f t="shared" si="2"/>
        <v>1</v>
      </c>
      <c r="D76" s="36">
        <f t="shared" si="3"/>
        <v>27</v>
      </c>
      <c r="F76" s="36" cm="1">
        <f t="array" ref="F76">_xlfn.IFS(LEFT(A68,1)&lt;="F",0,LEFT(A68,1)&lt;="M",1,LEFT(A68,1)&lt;="Z",2)</f>
        <v>2</v>
      </c>
    </row>
    <row r="77" spans="1:6" ht="13.8" x14ac:dyDescent="0.25">
      <c r="A77" s="9" t="s">
        <v>78</v>
      </c>
      <c r="B77" s="7">
        <v>10</v>
      </c>
      <c r="C77" s="6">
        <f t="shared" si="2"/>
        <v>1</v>
      </c>
      <c r="D77" s="36">
        <f t="shared" si="3"/>
        <v>30</v>
      </c>
      <c r="F77" s="36" cm="1">
        <f t="array" ref="F77">_xlfn.IFS(LEFT(A69,1)&lt;="F",0,LEFT(A69,1)&lt;="M",1,LEFT(A69,1)&lt;="Z",2)</f>
        <v>2</v>
      </c>
    </row>
    <row r="78" spans="1:6" ht="13.8" x14ac:dyDescent="0.25">
      <c r="A78" s="9" t="s">
        <v>79</v>
      </c>
      <c r="B78" s="7">
        <v>0.5</v>
      </c>
      <c r="C78" s="6">
        <f t="shared" si="2"/>
        <v>1</v>
      </c>
      <c r="D78" s="36">
        <f t="shared" si="3"/>
        <v>1.5</v>
      </c>
      <c r="F78" s="36" cm="1">
        <f t="array" ref="F78">_xlfn.IFS(LEFT(A70,1)&lt;="F",0,LEFT(A70,1)&lt;="M",1,LEFT(A70,1)&lt;="Z",2)</f>
        <v>2</v>
      </c>
    </row>
    <row r="79" spans="1:6" ht="13.8" x14ac:dyDescent="0.25">
      <c r="A79" s="9" t="s">
        <v>80</v>
      </c>
      <c r="B79" s="7">
        <v>1</v>
      </c>
      <c r="C79" s="6">
        <f t="shared" si="2"/>
        <v>1</v>
      </c>
      <c r="D79" s="36">
        <f t="shared" si="3"/>
        <v>3</v>
      </c>
      <c r="F79" s="36" cm="1">
        <f t="array" ref="F79">_xlfn.IFS(LEFT(A71,1)&lt;="F",0,LEFT(A71,1)&lt;="M",1,LEFT(A71,1)&lt;="Z",2)</f>
        <v>2</v>
      </c>
    </row>
    <row r="80" spans="1:6" ht="13.8" x14ac:dyDescent="0.25">
      <c r="A80" s="9" t="s">
        <v>81</v>
      </c>
      <c r="B80" s="7">
        <v>2</v>
      </c>
      <c r="C80" s="6">
        <f t="shared" si="2"/>
        <v>2</v>
      </c>
      <c r="D80" s="36">
        <f t="shared" si="3"/>
        <v>4</v>
      </c>
      <c r="F80" s="36" cm="1">
        <f t="array" ref="F80">_xlfn.IFS(LEFT(A72,1)&lt;="F",0,LEFT(A72,1)&lt;="M",1,LEFT(A72,1)&lt;="Z",2)</f>
        <v>2</v>
      </c>
    </row>
    <row r="81" spans="1:6" ht="13.8" x14ac:dyDescent="0.25">
      <c r="A81" s="9" t="s">
        <v>82</v>
      </c>
      <c r="B81" s="7">
        <v>3</v>
      </c>
      <c r="C81" s="6">
        <f t="shared" si="2"/>
        <v>2</v>
      </c>
      <c r="D81" s="36">
        <f t="shared" si="3"/>
        <v>6</v>
      </c>
      <c r="F81" s="36" cm="1">
        <f t="array" ref="F81">_xlfn.IFS(LEFT(A73,1)&lt;="F",0,LEFT(A73,1)&lt;="M",1,LEFT(A73,1)&lt;="Z",2)</f>
        <v>0</v>
      </c>
    </row>
    <row r="82" spans="1:6" ht="13.8" x14ac:dyDescent="0.25">
      <c r="A82" s="9" t="s">
        <v>83</v>
      </c>
      <c r="B82" s="7">
        <v>4</v>
      </c>
      <c r="C82" s="6">
        <f t="shared" si="2"/>
        <v>2</v>
      </c>
      <c r="D82" s="36">
        <f t="shared" si="3"/>
        <v>8</v>
      </c>
      <c r="F82" s="36" cm="1">
        <f t="array" ref="F82">_xlfn.IFS(LEFT(A74,1)&lt;="F",0,LEFT(A74,1)&lt;="M",1,LEFT(A74,1)&lt;="Z",2)</f>
        <v>0</v>
      </c>
    </row>
    <row r="83" spans="1:6" ht="13.8" x14ac:dyDescent="0.25">
      <c r="A83" s="9" t="s">
        <v>84</v>
      </c>
      <c r="B83" s="7">
        <v>5</v>
      </c>
      <c r="C83" s="6">
        <f t="shared" si="2"/>
        <v>2</v>
      </c>
      <c r="D83" s="36">
        <f t="shared" si="3"/>
        <v>10</v>
      </c>
      <c r="F83" s="36" cm="1">
        <f t="array" ref="F83">_xlfn.IFS(LEFT(A75,1)&lt;="F",0,LEFT(A75,1)&lt;="M",1,LEFT(A75,1)&lt;="Z",2)</f>
        <v>0</v>
      </c>
    </row>
    <row r="84" spans="1:6" ht="13.8" x14ac:dyDescent="0.25">
      <c r="A84" s="9" t="s">
        <v>85</v>
      </c>
      <c r="B84" s="7">
        <v>6</v>
      </c>
      <c r="C84" s="6">
        <f t="shared" si="2"/>
        <v>2</v>
      </c>
      <c r="D84" s="36">
        <f t="shared" si="3"/>
        <v>12</v>
      </c>
      <c r="F84" s="36" cm="1">
        <f t="array" ref="F84">_xlfn.IFS(LEFT(A76,1)&lt;="F",0,LEFT(A76,1)&lt;="M",1,LEFT(A76,1)&lt;="Z",2)</f>
        <v>1</v>
      </c>
    </row>
    <row r="85" spans="1:6" ht="13.8" x14ac:dyDescent="0.25">
      <c r="A85" s="9" t="s">
        <v>86</v>
      </c>
      <c r="B85" s="7">
        <v>7</v>
      </c>
      <c r="C85" s="6">
        <f t="shared" si="2"/>
        <v>2</v>
      </c>
      <c r="D85" s="36">
        <f t="shared" si="3"/>
        <v>14</v>
      </c>
      <c r="F85" s="36" cm="1">
        <f t="array" ref="F85">_xlfn.IFS(LEFT(A77,1)&lt;="F",0,LEFT(A77,1)&lt;="M",1,LEFT(A77,1)&lt;="Z",2)</f>
        <v>1</v>
      </c>
    </row>
    <row r="86" spans="1:6" ht="13.8" x14ac:dyDescent="0.25">
      <c r="A86" s="9" t="s">
        <v>87</v>
      </c>
      <c r="B86" s="7">
        <v>8</v>
      </c>
      <c r="C86" s="6">
        <f t="shared" si="2"/>
        <v>0</v>
      </c>
      <c r="D86" s="36">
        <f t="shared" si="3"/>
        <v>32</v>
      </c>
      <c r="F86" s="36" cm="1">
        <f t="array" ref="F86">_xlfn.IFS(LEFT(A78,1)&lt;="F",0,LEFT(A78,1)&lt;="M",1,LEFT(A78,1)&lt;="Z",2)</f>
        <v>1</v>
      </c>
    </row>
    <row r="87" spans="1:6" ht="13.8" x14ac:dyDescent="0.25">
      <c r="A87" s="9" t="s">
        <v>88</v>
      </c>
      <c r="B87" s="7">
        <v>9</v>
      </c>
      <c r="C87" s="6">
        <f t="shared" si="2"/>
        <v>0</v>
      </c>
      <c r="D87" s="36">
        <f t="shared" si="3"/>
        <v>36</v>
      </c>
      <c r="F87" s="36" cm="1">
        <f t="array" ref="F87">_xlfn.IFS(LEFT(A79,1)&lt;="F",0,LEFT(A79,1)&lt;="M",1,LEFT(A79,1)&lt;="Z",2)</f>
        <v>1</v>
      </c>
    </row>
    <row r="88" spans="1:6" ht="13.8" x14ac:dyDescent="0.25">
      <c r="A88" s="9" t="s">
        <v>89</v>
      </c>
      <c r="B88" s="7">
        <v>10</v>
      </c>
      <c r="C88" s="6">
        <f t="shared" si="2"/>
        <v>0</v>
      </c>
      <c r="D88" s="36">
        <f t="shared" si="3"/>
        <v>40</v>
      </c>
      <c r="F88" s="36" cm="1">
        <f t="array" ref="F88">_xlfn.IFS(LEFT(A80,1)&lt;="F",0,LEFT(A80,1)&lt;="M",1,LEFT(A80,1)&lt;="Z",2)</f>
        <v>2</v>
      </c>
    </row>
    <row r="89" spans="1:6" ht="13.8" x14ac:dyDescent="0.25">
      <c r="A89" s="9" t="s">
        <v>90</v>
      </c>
      <c r="B89" s="7">
        <v>0.5</v>
      </c>
      <c r="C89" s="6">
        <f t="shared" si="2"/>
        <v>1</v>
      </c>
      <c r="D89" s="36">
        <f t="shared" si="3"/>
        <v>1.5</v>
      </c>
      <c r="F89" s="36" cm="1">
        <f t="array" ref="F89">_xlfn.IFS(LEFT(A81,1)&lt;="F",0,LEFT(A81,1)&lt;="M",1,LEFT(A81,1)&lt;="Z",2)</f>
        <v>2</v>
      </c>
    </row>
    <row r="90" spans="1:6" ht="13.8" x14ac:dyDescent="0.25">
      <c r="A90" s="9" t="s">
        <v>91</v>
      </c>
      <c r="B90" s="7">
        <v>1</v>
      </c>
      <c r="C90" s="6">
        <f t="shared" si="2"/>
        <v>1</v>
      </c>
      <c r="D90" s="36">
        <f t="shared" si="3"/>
        <v>3</v>
      </c>
      <c r="F90" s="36" cm="1">
        <f t="array" ref="F90">_xlfn.IFS(LEFT(A82,1)&lt;="F",0,LEFT(A82,1)&lt;="M",1,LEFT(A82,1)&lt;="Z",2)</f>
        <v>2</v>
      </c>
    </row>
    <row r="91" spans="1:6" ht="13.8" x14ac:dyDescent="0.25">
      <c r="A91" s="9" t="s">
        <v>92</v>
      </c>
      <c r="B91" s="7">
        <v>2</v>
      </c>
      <c r="C91" s="6">
        <f t="shared" si="2"/>
        <v>1</v>
      </c>
      <c r="D91" s="36">
        <f t="shared" si="3"/>
        <v>6</v>
      </c>
      <c r="F91" s="36" cm="1">
        <f t="array" ref="F91">_xlfn.IFS(LEFT(A83,1)&lt;="F",0,LEFT(A83,1)&lt;="M",1,LEFT(A83,1)&lt;="Z",2)</f>
        <v>2</v>
      </c>
    </row>
    <row r="92" spans="1:6" ht="13.8" x14ac:dyDescent="0.25">
      <c r="A92" s="9" t="s">
        <v>93</v>
      </c>
      <c r="B92" s="7">
        <v>3</v>
      </c>
      <c r="C92" s="6">
        <f t="shared" si="2"/>
        <v>1</v>
      </c>
      <c r="D92" s="36">
        <f t="shared" si="3"/>
        <v>9</v>
      </c>
      <c r="F92" s="36" cm="1">
        <f t="array" ref="F92">_xlfn.IFS(LEFT(A84,1)&lt;="F",0,LEFT(A84,1)&lt;="M",1,LEFT(A84,1)&lt;="Z",2)</f>
        <v>2</v>
      </c>
    </row>
    <row r="93" spans="1:6" ht="13.8" x14ac:dyDescent="0.25">
      <c r="A93" s="9" t="s">
        <v>94</v>
      </c>
      <c r="B93" s="7">
        <v>4</v>
      </c>
      <c r="C93" s="6">
        <f t="shared" si="2"/>
        <v>2</v>
      </c>
      <c r="D93" s="36">
        <f t="shared" si="3"/>
        <v>8</v>
      </c>
      <c r="F93" s="36" cm="1">
        <f t="array" ref="F93">_xlfn.IFS(LEFT(A85,1)&lt;="F",0,LEFT(A85,1)&lt;="M",1,LEFT(A85,1)&lt;="Z",2)</f>
        <v>2</v>
      </c>
    </row>
    <row r="94" spans="1:6" ht="13.8" x14ac:dyDescent="0.25">
      <c r="A94" s="9" t="s">
        <v>95</v>
      </c>
      <c r="B94" s="7">
        <v>5</v>
      </c>
      <c r="C94" s="6">
        <f t="shared" si="2"/>
        <v>2</v>
      </c>
      <c r="D94" s="36">
        <f t="shared" si="3"/>
        <v>10</v>
      </c>
      <c r="F94" s="36" cm="1">
        <f t="array" ref="F94">_xlfn.IFS(LEFT(A86,1)&lt;="F",0,LEFT(A86,1)&lt;="M",1,LEFT(A86,1)&lt;="Z",2)</f>
        <v>0</v>
      </c>
    </row>
    <row r="95" spans="1:6" ht="13.8" x14ac:dyDescent="0.25">
      <c r="A95" s="9" t="s">
        <v>96</v>
      </c>
      <c r="B95" s="7">
        <v>6</v>
      </c>
      <c r="C95" s="6">
        <f t="shared" si="2"/>
        <v>2</v>
      </c>
      <c r="D95" s="36">
        <f t="shared" si="3"/>
        <v>12</v>
      </c>
      <c r="F95" s="36" cm="1">
        <f t="array" ref="F95">_xlfn.IFS(LEFT(A87,1)&lt;="F",0,LEFT(A87,1)&lt;="M",1,LEFT(A87,1)&lt;="Z",2)</f>
        <v>0</v>
      </c>
    </row>
    <row r="96" spans="1:6" ht="13.8" x14ac:dyDescent="0.25">
      <c r="A96" s="9" t="s">
        <v>97</v>
      </c>
      <c r="B96" s="7">
        <v>7</v>
      </c>
      <c r="C96" s="6">
        <f t="shared" si="2"/>
        <v>2</v>
      </c>
      <c r="D96" s="36">
        <f t="shared" si="3"/>
        <v>14</v>
      </c>
      <c r="F96" s="36" cm="1">
        <f t="array" ref="F96">_xlfn.IFS(LEFT(A88,1)&lt;="F",0,LEFT(A88,1)&lt;="M",1,LEFT(A88,1)&lt;="Z",2)</f>
        <v>0</v>
      </c>
    </row>
    <row r="97" spans="1:7" ht="13.8" x14ac:dyDescent="0.25">
      <c r="A97" s="9" t="s">
        <v>98</v>
      </c>
      <c r="B97" s="7">
        <v>8</v>
      </c>
      <c r="C97" s="6">
        <f t="shared" si="2"/>
        <v>2</v>
      </c>
      <c r="D97" s="36">
        <f t="shared" si="3"/>
        <v>16</v>
      </c>
      <c r="F97" s="36" cm="1">
        <f t="array" ref="F97">_xlfn.IFS(LEFT(A89,1)&lt;="F",0,LEFT(A89,1)&lt;="M",1,LEFT(A89,1)&lt;="Z",2)</f>
        <v>1</v>
      </c>
    </row>
    <row r="98" spans="1:7" ht="13.8" x14ac:dyDescent="0.25">
      <c r="A98" s="9" t="s">
        <v>99</v>
      </c>
      <c r="B98" s="7">
        <v>9</v>
      </c>
      <c r="C98" s="6">
        <f t="shared" si="2"/>
        <v>2</v>
      </c>
      <c r="D98" s="36">
        <f t="shared" si="3"/>
        <v>18</v>
      </c>
      <c r="F98" s="36" cm="1">
        <f t="array" ref="F98">_xlfn.IFS(LEFT(A90,1)&lt;="F",0,LEFT(A90,1)&lt;="M",1,LEFT(A90,1)&lt;="Z",2)</f>
        <v>1</v>
      </c>
    </row>
    <row r="99" spans="1:7" ht="13.8" x14ac:dyDescent="0.25">
      <c r="A99" s="9" t="s">
        <v>100</v>
      </c>
      <c r="B99" s="7">
        <v>10</v>
      </c>
      <c r="C99" s="6">
        <f t="shared" si="2"/>
        <v>0</v>
      </c>
      <c r="D99" s="36">
        <f t="shared" si="3"/>
        <v>40</v>
      </c>
      <c r="F99" s="36" cm="1">
        <f t="array" ref="F99">_xlfn.IFS(LEFT(A91,1)&lt;="F",0,LEFT(A91,1)&lt;="M",1,LEFT(A91,1)&lt;="Z",2)</f>
        <v>1</v>
      </c>
    </row>
    <row r="100" spans="1:7" ht="13.8" x14ac:dyDescent="0.25">
      <c r="A100" s="9" t="s">
        <v>101</v>
      </c>
      <c r="B100" s="7">
        <v>0.5</v>
      </c>
      <c r="C100" s="6">
        <f t="shared" si="2"/>
        <v>0</v>
      </c>
      <c r="D100" s="36">
        <f t="shared" si="3"/>
        <v>2</v>
      </c>
      <c r="F100" s="36" cm="1">
        <f t="array" ref="F100">_xlfn.IFS(LEFT(A92,1)&lt;="F",0,LEFT(A92,1)&lt;="M",1,LEFT(A92,1)&lt;="Z",2)</f>
        <v>1</v>
      </c>
    </row>
    <row r="101" spans="1:7" ht="14.4" thickBot="1" x14ac:dyDescent="0.3">
      <c r="A101" s="10" t="s">
        <v>102</v>
      </c>
      <c r="B101" s="8">
        <v>1</v>
      </c>
      <c r="C101" s="12">
        <f t="shared" si="2"/>
        <v>0</v>
      </c>
      <c r="D101" s="39">
        <f t="shared" si="3"/>
        <v>4</v>
      </c>
      <c r="F101" s="36" cm="1">
        <f t="array" ref="F101">_xlfn.IFS(LEFT(A93,1)&lt;="F",0,LEFT(A93,1)&lt;="M",1,LEFT(A93,1)&lt;="Z",2)</f>
        <v>2</v>
      </c>
    </row>
    <row r="102" spans="1:7" ht="15.75" customHeight="1" x14ac:dyDescent="0.25">
      <c r="F102" s="36" cm="1">
        <f t="array" ref="F102">_xlfn.IFS(LEFT(A94,1)&lt;="F",0,LEFT(A94,1)&lt;="M",1,LEFT(A94,1)&lt;="Z",2)</f>
        <v>2</v>
      </c>
    </row>
    <row r="103" spans="1:7" ht="15.75" customHeight="1" x14ac:dyDescent="0.25">
      <c r="F103" s="36" cm="1">
        <f t="array" ref="F103">_xlfn.IFS(LEFT(A95,1)&lt;="F",0,LEFT(A95,1)&lt;="M",1,LEFT(A95,1)&lt;="Z",2)</f>
        <v>2</v>
      </c>
    </row>
    <row r="104" spans="1:7" ht="15.75" customHeight="1" x14ac:dyDescent="0.25">
      <c r="F104" s="36" cm="1">
        <f t="array" ref="F104">_xlfn.IFS(LEFT(A96,1)&lt;="F",0,LEFT(A96,1)&lt;="M",1,LEFT(A96,1)&lt;="Z",2)</f>
        <v>2</v>
      </c>
    </row>
    <row r="105" spans="1:7" ht="15.75" customHeight="1" x14ac:dyDescent="0.25">
      <c r="F105" s="36" cm="1">
        <f t="array" ref="F105">_xlfn.IFS(LEFT(A97,1)&lt;="F",0,LEFT(A97,1)&lt;="M",1,LEFT(A97,1)&lt;="Z",2)</f>
        <v>2</v>
      </c>
    </row>
    <row r="106" spans="1:7" ht="15.75" customHeight="1" x14ac:dyDescent="0.25">
      <c r="F106" s="36" cm="1">
        <f t="array" ref="F106">_xlfn.IFS(LEFT(A98,1)&lt;="F",0,LEFT(A98,1)&lt;="M",1,LEFT(A98,1)&lt;="Z",2)</f>
        <v>2</v>
      </c>
    </row>
    <row r="107" spans="1:7" ht="15.75" customHeight="1" x14ac:dyDescent="0.25">
      <c r="F107" s="36" cm="1">
        <f t="array" ref="F107">_xlfn.IFS(LEFT(A99,1)&lt;="F",0,LEFT(A99,1)&lt;="M",1,LEFT(A99,1)&lt;="Z",2)</f>
        <v>0</v>
      </c>
      <c r="G107"/>
    </row>
    <row r="108" spans="1:7" ht="15.75" customHeight="1" x14ac:dyDescent="0.25">
      <c r="F108" s="36" cm="1">
        <f t="array" ref="F108">_xlfn.IFS(LEFT(A100,1)&lt;="F",0,LEFT(A100,1)&lt;="M",1,LEFT(A100,1)&lt;="Z",2)</f>
        <v>0</v>
      </c>
    </row>
    <row r="109" spans="1:7" ht="15.75" customHeight="1" x14ac:dyDescent="0.25">
      <c r="F109" s="37" cm="1">
        <f t="array" ref="F109">_xlfn.IFS(LEFT(A101,1)&lt;="F",0,LEFT(A101,1)&lt;="M",1,LEFT(A101,1)&lt;="Z",2)</f>
        <v>0</v>
      </c>
    </row>
  </sheetData>
  <mergeCells count="1">
    <mergeCell ref="F6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47"/>
  <sheetViews>
    <sheetView tabSelected="1" workbookViewId="0">
      <selection activeCell="N10" sqref="N10"/>
    </sheetView>
  </sheetViews>
  <sheetFormatPr defaultColWidth="12.6640625" defaultRowHeight="15.75" customHeight="1" x14ac:dyDescent="0.25"/>
  <cols>
    <col min="1" max="1" width="11.21875" bestFit="1" customWidth="1"/>
    <col min="2" max="2" width="8.77734375" bestFit="1" customWidth="1"/>
    <col min="3" max="3" width="10.33203125" bestFit="1" customWidth="1"/>
    <col min="4" max="4" width="9.77734375" bestFit="1" customWidth="1"/>
    <col min="5" max="5" width="11" bestFit="1" customWidth="1"/>
    <col min="6" max="6" width="10.33203125" bestFit="1" customWidth="1"/>
    <col min="7" max="7" width="13.33203125" customWidth="1"/>
    <col min="9" max="9" width="40.109375" customWidth="1"/>
  </cols>
  <sheetData>
    <row r="1" spans="1:28" ht="13.8" x14ac:dyDescent="0.25">
      <c r="A1" s="1" t="s">
        <v>103</v>
      </c>
      <c r="B1" s="1" t="s">
        <v>104</v>
      </c>
      <c r="C1" s="1" t="s">
        <v>3</v>
      </c>
      <c r="D1" s="30" t="s">
        <v>128</v>
      </c>
      <c r="E1" s="31" t="s">
        <v>129</v>
      </c>
      <c r="F1" s="31" t="s">
        <v>130</v>
      </c>
      <c r="G1" s="32" t="s">
        <v>131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3.2" x14ac:dyDescent="0.25">
      <c r="A2" s="2" t="s">
        <v>105</v>
      </c>
      <c r="B2" s="2">
        <v>55</v>
      </c>
      <c r="C2">
        <v>0</v>
      </c>
      <c r="D2" s="25" t="s">
        <v>105</v>
      </c>
      <c r="E2" s="23">
        <f>COUNTIF(Tabella1[FRUTTA],D2)</f>
        <v>11</v>
      </c>
      <c r="F2" s="24">
        <f ca="1">SUMIF(Tabella1[[FRUTTA]:[PESO]],D2,Tabella1[PESO])</f>
        <v>525</v>
      </c>
      <c r="G2" s="26">
        <f>SUMIFS(Tabella1[COSTO],Tabella1[FRUTTA],Tabella1[[#This Row],[FRUTTA]],Tabella1[PESO],"&gt;80")</f>
        <v>0</v>
      </c>
      <c r="I2" s="22" t="s">
        <v>125</v>
      </c>
    </row>
    <row r="3" spans="1:28" ht="13.2" x14ac:dyDescent="0.25">
      <c r="A3" s="2" t="s">
        <v>106</v>
      </c>
      <c r="B3" s="2">
        <v>70</v>
      </c>
      <c r="C3" s="2">
        <v>80</v>
      </c>
      <c r="D3" s="25" t="s">
        <v>106</v>
      </c>
      <c r="E3" s="23">
        <f>COUNTIF(Tabella1[FRUTTA],D3)</f>
        <v>14</v>
      </c>
      <c r="F3" s="24">
        <f ca="1">SUMIF(Tabella1[[FRUTTA]:[PESO]],D3,Tabella1[PESO])</f>
        <v>755</v>
      </c>
      <c r="G3" s="26">
        <f>SUMIFS(Tabella1[COSTO],Tabella1[FRUTTA],Tabella1[[#This Row],[FRUTTA]],Tabella1[PESO],"&gt;80")</f>
        <v>75</v>
      </c>
      <c r="I3" s="43" t="s">
        <v>123</v>
      </c>
    </row>
    <row r="4" spans="1:28" ht="13.2" customHeight="1" x14ac:dyDescent="0.25">
      <c r="A4" s="2" t="s">
        <v>107</v>
      </c>
      <c r="B4" s="2">
        <v>40</v>
      </c>
      <c r="C4" s="2">
        <v>60</v>
      </c>
      <c r="D4" s="25" t="s">
        <v>107</v>
      </c>
      <c r="E4" s="23">
        <f>COUNTIF(Tabella1[FRUTTA],D4)</f>
        <v>11</v>
      </c>
      <c r="F4" s="24">
        <f ca="1">SUMIF(Tabella1[[FRUTTA]:[PESO]],D4,Tabella1[PESO])</f>
        <v>555</v>
      </c>
      <c r="G4" s="26">
        <f>SUMIFS(Tabella1[COSTO],Tabella1[FRUTTA],Tabella1[[#This Row],[FRUTTA]],Tabella1[PESO],"&gt;80")</f>
        <v>0</v>
      </c>
      <c r="I4" s="43"/>
    </row>
    <row r="5" spans="1:28" ht="13.2" x14ac:dyDescent="0.25">
      <c r="A5" s="2" t="s">
        <v>105</v>
      </c>
      <c r="B5" s="2">
        <v>20</v>
      </c>
      <c r="C5" s="2">
        <v>100</v>
      </c>
      <c r="D5" s="25" t="s">
        <v>108</v>
      </c>
      <c r="E5" s="23">
        <f>COUNTIF(Tabella1[FRUTTA],D5)</f>
        <v>7</v>
      </c>
      <c r="F5" s="24">
        <f ca="1">SUMIF(Tabella1[[FRUTTA]:[PESO]],D5,Tabella1[PESO])</f>
        <v>380</v>
      </c>
      <c r="G5" s="26">
        <f>SUMIFS(Tabella1[COSTO],Tabella1[FRUTTA],Tabella1[[#This Row],[FRUTTA]],Tabella1[PESO],"&gt;80")</f>
        <v>0</v>
      </c>
      <c r="I5" s="43"/>
    </row>
    <row r="6" spans="1:28" ht="13.2" customHeight="1" thickBot="1" x14ac:dyDescent="0.3">
      <c r="A6" s="2" t="s">
        <v>108</v>
      </c>
      <c r="B6" s="2">
        <v>90</v>
      </c>
      <c r="C6" s="2">
        <v>30</v>
      </c>
      <c r="D6" s="27" t="s">
        <v>109</v>
      </c>
      <c r="E6" s="28">
        <f>COUNTIF(Tabella1[FRUTTA],D6)</f>
        <v>3</v>
      </c>
      <c r="F6" s="29">
        <f ca="1">SUMIF(Tabella1[[FRUTTA]:[PESO]],D6,Tabella1[PESO])</f>
        <v>160</v>
      </c>
      <c r="G6" s="26">
        <f>SUMIFS(Tabella1[COSTO],Tabella1[FRUTTA],Tabella1[[#This Row],[FRUTTA]],Tabella1[PESO],"&gt;80")</f>
        <v>30</v>
      </c>
      <c r="I6" s="43"/>
    </row>
    <row r="7" spans="1:28" ht="13.2" customHeight="1" x14ac:dyDescent="0.25">
      <c r="A7" s="2" t="s">
        <v>106</v>
      </c>
      <c r="B7" s="2">
        <v>50</v>
      </c>
      <c r="C7" s="2">
        <v>40</v>
      </c>
      <c r="D7" s="21"/>
      <c r="I7" s="22" t="s">
        <v>126</v>
      </c>
    </row>
    <row r="8" spans="1:28" ht="13.2" x14ac:dyDescent="0.25">
      <c r="A8" s="2" t="s">
        <v>107</v>
      </c>
      <c r="B8" s="2">
        <v>60</v>
      </c>
      <c r="C8" s="2">
        <v>55</v>
      </c>
      <c r="D8" s="21"/>
      <c r="E8" s="47" t="s">
        <v>132</v>
      </c>
      <c r="F8" s="47" t="s">
        <v>133</v>
      </c>
      <c r="G8" s="47" t="s">
        <v>134</v>
      </c>
      <c r="I8" s="44" t="s">
        <v>124</v>
      </c>
    </row>
    <row r="9" spans="1:28" ht="13.2" x14ac:dyDescent="0.25">
      <c r="A9" s="2" t="s">
        <v>105</v>
      </c>
      <c r="B9" s="2">
        <v>45</v>
      </c>
      <c r="C9">
        <v>0</v>
      </c>
      <c r="D9" s="21"/>
      <c r="I9" s="44"/>
    </row>
    <row r="10" spans="1:28" ht="13.2" customHeight="1" x14ac:dyDescent="0.25">
      <c r="A10" s="2" t="s">
        <v>106</v>
      </c>
      <c r="B10" s="2">
        <v>25</v>
      </c>
      <c r="C10" s="2">
        <v>85</v>
      </c>
      <c r="D10" s="21"/>
      <c r="E10" s="21"/>
      <c r="F10" s="21"/>
      <c r="G10" s="21"/>
      <c r="I10" s="44"/>
    </row>
    <row r="11" spans="1:28" ht="13.2" x14ac:dyDescent="0.25">
      <c r="A11" s="2" t="s">
        <v>108</v>
      </c>
      <c r="B11" s="2">
        <v>35</v>
      </c>
      <c r="C11" s="2">
        <v>50</v>
      </c>
      <c r="D11" s="21"/>
      <c r="E11" s="21"/>
      <c r="F11" s="21"/>
      <c r="G11" s="21"/>
      <c r="I11" s="44"/>
    </row>
    <row r="12" spans="1:28" ht="13.2" x14ac:dyDescent="0.25">
      <c r="A12" s="2" t="s">
        <v>109</v>
      </c>
      <c r="B12" s="2">
        <v>60</v>
      </c>
      <c r="C12" s="2">
        <v>95</v>
      </c>
      <c r="D12" s="21"/>
      <c r="E12" s="21"/>
      <c r="F12" s="21"/>
      <c r="G12" s="21"/>
      <c r="I12" s="44"/>
    </row>
    <row r="13" spans="1:28" ht="13.2" x14ac:dyDescent="0.25">
      <c r="A13" s="2" t="s">
        <v>107</v>
      </c>
      <c r="B13" s="2">
        <v>80</v>
      </c>
      <c r="C13">
        <v>0</v>
      </c>
      <c r="D13" s="21"/>
      <c r="E13" s="21"/>
      <c r="F13" s="21"/>
      <c r="G13" s="21"/>
      <c r="I13" s="22" t="s">
        <v>127</v>
      </c>
    </row>
    <row r="14" spans="1:28" ht="13.2" customHeight="1" x14ac:dyDescent="0.25">
      <c r="A14" s="2" t="s">
        <v>106</v>
      </c>
      <c r="B14" s="2">
        <v>40</v>
      </c>
      <c r="C14" s="2">
        <v>45</v>
      </c>
      <c r="D14" s="21"/>
      <c r="E14" s="21"/>
      <c r="F14" s="21"/>
      <c r="G14" s="21"/>
      <c r="I14" s="45" t="s">
        <v>135</v>
      </c>
    </row>
    <row r="15" spans="1:28" ht="13.2" x14ac:dyDescent="0.25">
      <c r="A15" s="2" t="s">
        <v>105</v>
      </c>
      <c r="B15" s="2">
        <v>65</v>
      </c>
      <c r="C15" s="2">
        <v>65</v>
      </c>
      <c r="D15" s="21"/>
      <c r="E15" s="21"/>
      <c r="F15" s="21"/>
      <c r="G15" s="21"/>
      <c r="I15" s="45"/>
    </row>
    <row r="16" spans="1:28" ht="13.2" x14ac:dyDescent="0.25">
      <c r="A16" s="2" t="s">
        <v>107</v>
      </c>
      <c r="B16" s="2">
        <v>55</v>
      </c>
      <c r="C16" s="2">
        <v>30</v>
      </c>
      <c r="D16" s="21"/>
      <c r="E16" s="21"/>
      <c r="F16" s="21"/>
      <c r="G16" s="21"/>
      <c r="I16" s="45"/>
    </row>
    <row r="17" spans="1:9" ht="13.2" x14ac:dyDescent="0.25">
      <c r="A17" s="2" t="s">
        <v>108</v>
      </c>
      <c r="B17" s="2">
        <v>70</v>
      </c>
      <c r="C17">
        <v>0</v>
      </c>
      <c r="D17" s="21"/>
      <c r="E17" s="21"/>
      <c r="F17" s="21"/>
      <c r="G17" s="21"/>
      <c r="I17" s="45"/>
    </row>
    <row r="18" spans="1:9" ht="13.2" x14ac:dyDescent="0.25">
      <c r="A18" s="2" t="s">
        <v>106</v>
      </c>
      <c r="B18" s="2">
        <v>45</v>
      </c>
      <c r="C18" s="2">
        <v>80</v>
      </c>
      <c r="D18" s="21"/>
      <c r="E18" s="21"/>
      <c r="F18" s="21"/>
      <c r="G18" s="21"/>
      <c r="I18" s="45"/>
    </row>
    <row r="19" spans="1:9" ht="13.2" x14ac:dyDescent="0.25">
      <c r="A19" s="2" t="s">
        <v>105</v>
      </c>
      <c r="B19" s="2">
        <v>25</v>
      </c>
      <c r="C19" s="2">
        <v>60</v>
      </c>
      <c r="D19" s="21"/>
      <c r="E19" s="21"/>
      <c r="F19" s="21"/>
      <c r="G19" s="21"/>
      <c r="I19" s="45"/>
    </row>
    <row r="20" spans="1:9" ht="13.2" x14ac:dyDescent="0.25">
      <c r="A20" s="2" t="s">
        <v>106</v>
      </c>
      <c r="B20" s="2">
        <v>35</v>
      </c>
      <c r="C20">
        <v>0</v>
      </c>
      <c r="D20" s="21"/>
      <c r="E20" s="21"/>
      <c r="F20" s="21"/>
      <c r="G20" s="21"/>
    </row>
    <row r="21" spans="1:9" ht="13.2" x14ac:dyDescent="0.25">
      <c r="A21" s="2" t="s">
        <v>107</v>
      </c>
      <c r="B21" s="2">
        <v>60</v>
      </c>
      <c r="C21" s="2">
        <v>30</v>
      </c>
      <c r="D21" s="21"/>
      <c r="E21" s="21"/>
      <c r="F21" s="21"/>
      <c r="G21" s="21"/>
    </row>
    <row r="22" spans="1:9" ht="13.2" x14ac:dyDescent="0.25">
      <c r="A22" s="2" t="s">
        <v>105</v>
      </c>
      <c r="B22" s="2">
        <v>70</v>
      </c>
      <c r="C22" s="2">
        <v>40</v>
      </c>
      <c r="D22" s="21"/>
      <c r="E22" s="21"/>
      <c r="F22" s="21"/>
      <c r="G22" s="21"/>
    </row>
    <row r="23" spans="1:9" ht="13.2" x14ac:dyDescent="0.25">
      <c r="A23" s="2" t="s">
        <v>106</v>
      </c>
      <c r="B23" s="2">
        <v>45</v>
      </c>
      <c r="C23" s="2">
        <v>55</v>
      </c>
      <c r="D23" s="21"/>
      <c r="E23" s="21"/>
      <c r="F23" s="21"/>
      <c r="G23" s="21"/>
    </row>
    <row r="24" spans="1:9" ht="13.2" x14ac:dyDescent="0.25">
      <c r="A24" s="2" t="s">
        <v>108</v>
      </c>
      <c r="B24" s="2">
        <v>25</v>
      </c>
      <c r="C24" s="2">
        <v>70</v>
      </c>
      <c r="D24" s="21"/>
      <c r="E24" s="21"/>
      <c r="F24" s="21"/>
      <c r="G24" s="21"/>
    </row>
    <row r="25" spans="1:9" ht="13.2" x14ac:dyDescent="0.25">
      <c r="A25" s="2" t="s">
        <v>109</v>
      </c>
      <c r="B25" s="2">
        <v>35</v>
      </c>
      <c r="C25">
        <v>0</v>
      </c>
      <c r="D25" s="21"/>
      <c r="E25" s="21"/>
      <c r="F25" s="21"/>
      <c r="G25" s="21"/>
    </row>
    <row r="26" spans="1:9" ht="13.2" x14ac:dyDescent="0.25">
      <c r="A26" s="2" t="s">
        <v>107</v>
      </c>
      <c r="B26" s="2">
        <v>60</v>
      </c>
      <c r="C26" s="2">
        <v>50</v>
      </c>
      <c r="D26" s="21"/>
      <c r="E26" s="21"/>
      <c r="F26" s="21"/>
      <c r="G26" s="21"/>
    </row>
    <row r="27" spans="1:9" ht="13.2" x14ac:dyDescent="0.25">
      <c r="A27" s="2" t="s">
        <v>106</v>
      </c>
      <c r="B27" s="2">
        <v>80</v>
      </c>
      <c r="C27" s="2">
        <v>95</v>
      </c>
      <c r="D27" s="21"/>
      <c r="E27" s="21"/>
      <c r="F27" s="21"/>
      <c r="G27" s="21"/>
    </row>
    <row r="28" spans="1:9" ht="13.2" x14ac:dyDescent="0.25">
      <c r="A28" s="2" t="s">
        <v>105</v>
      </c>
      <c r="B28" s="2">
        <v>40</v>
      </c>
      <c r="C28" s="2">
        <v>75</v>
      </c>
      <c r="D28" s="21"/>
      <c r="E28" s="21"/>
      <c r="F28" s="21"/>
      <c r="G28" s="21"/>
    </row>
    <row r="29" spans="1:9" ht="13.2" x14ac:dyDescent="0.25">
      <c r="A29" s="2" t="s">
        <v>107</v>
      </c>
      <c r="B29" s="2">
        <v>65</v>
      </c>
      <c r="C29" s="2">
        <v>45</v>
      </c>
      <c r="D29" s="21"/>
      <c r="E29" s="21"/>
      <c r="F29" s="21"/>
      <c r="G29" s="21"/>
    </row>
    <row r="30" spans="1:9" ht="13.2" x14ac:dyDescent="0.25">
      <c r="A30" s="2" t="s">
        <v>106</v>
      </c>
      <c r="B30" s="2">
        <v>55</v>
      </c>
      <c r="C30" s="2">
        <v>65</v>
      </c>
      <c r="D30" s="21"/>
      <c r="E30" s="21"/>
      <c r="F30" s="21"/>
      <c r="G30" s="21"/>
    </row>
    <row r="31" spans="1:9" ht="13.2" x14ac:dyDescent="0.25">
      <c r="A31" s="2" t="s">
        <v>108</v>
      </c>
      <c r="B31" s="2">
        <v>70</v>
      </c>
      <c r="C31" s="2">
        <v>30</v>
      </c>
      <c r="D31" s="21"/>
      <c r="E31" s="21"/>
      <c r="F31" s="21"/>
      <c r="G31" s="21"/>
    </row>
    <row r="32" spans="1:9" ht="13.2" x14ac:dyDescent="0.25">
      <c r="A32" s="2" t="s">
        <v>105</v>
      </c>
      <c r="B32" s="2">
        <v>45</v>
      </c>
      <c r="C32">
        <v>0</v>
      </c>
      <c r="D32" s="21"/>
      <c r="E32" s="21"/>
      <c r="F32" s="21"/>
      <c r="G32" s="21"/>
    </row>
    <row r="33" spans="1:7" ht="13.2" x14ac:dyDescent="0.25">
      <c r="A33" s="2" t="s">
        <v>106</v>
      </c>
      <c r="B33" s="2">
        <v>25</v>
      </c>
      <c r="C33" s="2">
        <v>80</v>
      </c>
      <c r="D33" s="21"/>
      <c r="E33" s="21"/>
      <c r="F33" s="21"/>
      <c r="G33" s="21"/>
    </row>
    <row r="34" spans="1:7" ht="13.2" x14ac:dyDescent="0.25">
      <c r="A34" s="2" t="s">
        <v>107</v>
      </c>
      <c r="B34" s="2">
        <v>35</v>
      </c>
      <c r="C34" s="2">
        <v>60</v>
      </c>
      <c r="D34" s="21"/>
      <c r="E34" s="21"/>
      <c r="F34" s="21"/>
      <c r="G34" s="21"/>
    </row>
    <row r="35" spans="1:7" ht="13.2" x14ac:dyDescent="0.25">
      <c r="A35" s="2" t="s">
        <v>105</v>
      </c>
      <c r="B35" s="2">
        <v>60</v>
      </c>
      <c r="C35" s="2">
        <v>100</v>
      </c>
      <c r="D35" s="21"/>
      <c r="E35" s="21"/>
      <c r="F35" s="21"/>
      <c r="G35" s="21"/>
    </row>
    <row r="36" spans="1:7" ht="13.2" x14ac:dyDescent="0.25">
      <c r="A36" s="2" t="s">
        <v>106</v>
      </c>
      <c r="B36" s="2">
        <v>80</v>
      </c>
      <c r="C36" s="2">
        <v>30</v>
      </c>
      <c r="D36" s="21"/>
      <c r="E36" s="21"/>
      <c r="F36" s="21"/>
      <c r="G36" s="21"/>
    </row>
    <row r="37" spans="1:7" ht="13.2" x14ac:dyDescent="0.25">
      <c r="A37" s="2" t="s">
        <v>108</v>
      </c>
      <c r="B37" s="2">
        <v>40</v>
      </c>
      <c r="C37">
        <v>0</v>
      </c>
      <c r="D37" s="21"/>
      <c r="E37" s="21"/>
      <c r="F37" s="21"/>
      <c r="G37" s="21"/>
    </row>
    <row r="38" spans="1:7" ht="13.2" x14ac:dyDescent="0.25">
      <c r="A38" s="2" t="s">
        <v>109</v>
      </c>
      <c r="B38" s="2">
        <v>65</v>
      </c>
      <c r="C38" s="2">
        <v>55</v>
      </c>
      <c r="D38" s="21"/>
      <c r="E38" s="21"/>
      <c r="F38" s="21"/>
      <c r="G38" s="21"/>
    </row>
    <row r="39" spans="1:7" ht="13.2" x14ac:dyDescent="0.25">
      <c r="A39" s="2" t="s">
        <v>107</v>
      </c>
      <c r="B39" s="2">
        <v>55</v>
      </c>
      <c r="C39" s="2">
        <v>70</v>
      </c>
      <c r="D39" s="21"/>
      <c r="E39" s="21"/>
      <c r="F39" s="21"/>
      <c r="G39" s="21"/>
    </row>
    <row r="40" spans="1:7" ht="13.2" x14ac:dyDescent="0.25">
      <c r="A40" s="2" t="s">
        <v>106</v>
      </c>
      <c r="B40" s="2">
        <v>70</v>
      </c>
      <c r="C40" s="2">
        <v>85</v>
      </c>
      <c r="D40" s="21"/>
      <c r="E40" s="21"/>
      <c r="F40" s="21"/>
      <c r="G40" s="21"/>
    </row>
    <row r="41" spans="1:7" ht="13.2" x14ac:dyDescent="0.25">
      <c r="A41" s="2" t="s">
        <v>105</v>
      </c>
      <c r="B41" s="2">
        <v>40</v>
      </c>
      <c r="C41" s="2">
        <v>50</v>
      </c>
      <c r="D41" s="21"/>
      <c r="E41" s="21"/>
      <c r="F41" s="21"/>
      <c r="G41" s="21"/>
    </row>
    <row r="42" spans="1:7" ht="13.2" x14ac:dyDescent="0.25">
      <c r="A42" s="2" t="s">
        <v>107</v>
      </c>
      <c r="B42" s="2">
        <v>20</v>
      </c>
      <c r="C42" s="2">
        <v>95</v>
      </c>
      <c r="D42" s="21"/>
      <c r="E42" s="21"/>
      <c r="F42" s="21"/>
      <c r="G42" s="21"/>
    </row>
    <row r="43" spans="1:7" ht="13.2" x14ac:dyDescent="0.25">
      <c r="A43" s="2" t="s">
        <v>106</v>
      </c>
      <c r="B43" s="2">
        <v>90</v>
      </c>
      <c r="C43" s="2">
        <v>75</v>
      </c>
      <c r="D43" s="21"/>
      <c r="E43" s="21"/>
      <c r="F43" s="21"/>
      <c r="G43" s="21"/>
    </row>
    <row r="44" spans="1:7" ht="13.2" x14ac:dyDescent="0.25">
      <c r="A44" s="2" t="s">
        <v>108</v>
      </c>
      <c r="B44" s="2">
        <v>50</v>
      </c>
      <c r="C44" s="2">
        <v>45</v>
      </c>
      <c r="D44" s="21"/>
      <c r="E44" s="21"/>
      <c r="F44" s="21"/>
      <c r="G44" s="21"/>
    </row>
    <row r="45" spans="1:7" ht="13.2" x14ac:dyDescent="0.25">
      <c r="A45" s="2" t="s">
        <v>105</v>
      </c>
      <c r="B45" s="2">
        <v>60</v>
      </c>
      <c r="C45" s="2">
        <v>65</v>
      </c>
      <c r="D45" s="21"/>
      <c r="E45" s="21"/>
      <c r="F45" s="21"/>
      <c r="G45" s="21"/>
    </row>
    <row r="46" spans="1:7" ht="13.2" x14ac:dyDescent="0.25">
      <c r="A46" s="2" t="s">
        <v>106</v>
      </c>
      <c r="B46" s="2">
        <v>45</v>
      </c>
      <c r="C46">
        <v>0</v>
      </c>
      <c r="D46" s="21"/>
      <c r="E46" s="21"/>
      <c r="F46" s="21"/>
      <c r="G46" s="21"/>
    </row>
    <row r="47" spans="1:7" ht="13.2" x14ac:dyDescent="0.25">
      <c r="A47" s="2" t="s">
        <v>107</v>
      </c>
      <c r="B47" s="2">
        <v>25</v>
      </c>
      <c r="C47">
        <v>0</v>
      </c>
      <c r="D47" s="21"/>
      <c r="E47" s="21"/>
      <c r="F47" s="21"/>
      <c r="G47" s="21"/>
    </row>
  </sheetData>
  <mergeCells count="3">
    <mergeCell ref="I3:I6"/>
    <mergeCell ref="I8:I12"/>
    <mergeCell ref="I14:I19"/>
  </mergeCells>
  <phoneticPr fontId="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Parcheggio</vt:lpstr>
      <vt:lpstr>Frutta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 Pagano</cp:lastModifiedBy>
  <dcterms:modified xsi:type="dcterms:W3CDTF">2026-04-11T17:16:45Z</dcterms:modified>
</cp:coreProperties>
</file>